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265473e6d974213/Attachments/Mahindra-3Statement-Model/"/>
    </mc:Choice>
  </mc:AlternateContent>
  <xr:revisionPtr revIDLastSave="2563" documentId="8_{60038947-CD14-4F3B-A49F-CE8041B522AE}" xr6:coauthVersionLast="47" xr6:coauthVersionMax="47" xr10:uidLastSave="{F340EBAD-0625-43BC-BD41-1E0D64B25F82}"/>
  <bookViews>
    <workbookView minimized="1" xWindow="2700" yWindow="2745" windowWidth="15375" windowHeight="7785" firstSheet="1" activeTab="1" xr2:uid="{DD958189-B7E7-412C-AFDF-3B4263EAC905}"/>
  </bookViews>
  <sheets>
    <sheet name="Financials&gt;" sheetId="3" r:id="rId1"/>
    <sheet name=" Summary Dashboard" sheetId="26" r:id="rId2"/>
    <sheet name="Assumptions" sheetId="25" r:id="rId3"/>
    <sheet name="Income Statement " sheetId="22" r:id="rId4"/>
    <sheet name="Balance Sheet" sheetId="23" r:id="rId5"/>
    <sheet name="Cash Flow Statement" sheetId="24" r:id="rId6"/>
    <sheet name="Sales Trend Analysis" sheetId="7" r:id="rId7"/>
    <sheet name="Historical FS" sheetId="21" r:id="rId8"/>
    <sheet name="Raw Data" sheetId="2" r:id="rId9"/>
  </sheets>
  <definedNames>
    <definedName name="UPDATE">'Raw Data'!$E$1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3" l="1"/>
  <c r="G7" i="22"/>
  <c r="F7" i="22"/>
  <c r="E7" i="22"/>
  <c r="D7" i="22"/>
  <c r="B1" i="7"/>
  <c r="D4" i="26"/>
  <c r="D12" i="26" s="1"/>
  <c r="D19" i="26" s="1"/>
  <c r="D39" i="21"/>
  <c r="E39" i="21"/>
  <c r="F39" i="21"/>
  <c r="G39" i="21"/>
  <c r="H39" i="21"/>
  <c r="I39" i="21"/>
  <c r="J39" i="21"/>
  <c r="K39" i="21"/>
  <c r="L39" i="21"/>
  <c r="C39" i="21"/>
  <c r="D24" i="23"/>
  <c r="E24" i="23"/>
  <c r="F24" i="23"/>
  <c r="C24" i="23"/>
  <c r="D23" i="23"/>
  <c r="E23" i="23"/>
  <c r="F23" i="23"/>
  <c r="C23" i="23"/>
  <c r="D22" i="23"/>
  <c r="E22" i="23"/>
  <c r="F22" i="23"/>
  <c r="C22" i="23"/>
  <c r="D21" i="23"/>
  <c r="E21" i="23"/>
  <c r="F21" i="23"/>
  <c r="C21" i="23"/>
  <c r="D18" i="23"/>
  <c r="E18" i="23"/>
  <c r="F18" i="23"/>
  <c r="C18" i="23"/>
  <c r="D17" i="23"/>
  <c r="E17" i="23"/>
  <c r="F17" i="23"/>
  <c r="C17" i="23"/>
  <c r="D13" i="23"/>
  <c r="E13" i="23"/>
  <c r="F13" i="23"/>
  <c r="C13" i="23"/>
  <c r="D12" i="23"/>
  <c r="E12" i="23"/>
  <c r="F12" i="23"/>
  <c r="C12" i="23"/>
  <c r="D11" i="23"/>
  <c r="E11" i="23"/>
  <c r="F11" i="23"/>
  <c r="C11" i="23"/>
  <c r="D10" i="23"/>
  <c r="E10" i="23"/>
  <c r="F10" i="23"/>
  <c r="C10" i="23"/>
  <c r="D7" i="23"/>
  <c r="E7" i="23"/>
  <c r="F7" i="23"/>
  <c r="C7" i="23"/>
  <c r="D6" i="23"/>
  <c r="E6" i="23"/>
  <c r="F6" i="23"/>
  <c r="C6" i="23"/>
  <c r="L65" i="21"/>
  <c r="F16" i="23" s="1"/>
  <c r="K65" i="21"/>
  <c r="E16" i="23" s="1"/>
  <c r="J65" i="21"/>
  <c r="D16" i="23" s="1"/>
  <c r="I65" i="21"/>
  <c r="C16" i="23" s="1"/>
  <c r="H65" i="21"/>
  <c r="G65" i="21"/>
  <c r="F65" i="21"/>
  <c r="E65" i="21"/>
  <c r="D65" i="21"/>
  <c r="C65" i="21"/>
  <c r="C78" i="21"/>
  <c r="D4" i="21"/>
  <c r="E22" i="7"/>
  <c r="C40" i="22"/>
  <c r="F40" i="22"/>
  <c r="E8" i="23"/>
  <c r="D37" i="22"/>
  <c r="E37" i="22"/>
  <c r="F37" i="22"/>
  <c r="G37" i="22" s="1"/>
  <c r="H37" i="22" s="1"/>
  <c r="I37" i="22" s="1"/>
  <c r="C37" i="22"/>
  <c r="G6" i="23"/>
  <c r="H6" i="23"/>
  <c r="I6" i="23"/>
  <c r="C8" i="23"/>
  <c r="D8" i="23"/>
  <c r="F8" i="23"/>
  <c r="G10" i="23"/>
  <c r="H10" i="23"/>
  <c r="I10" i="23"/>
  <c r="G11" i="23"/>
  <c r="H11" i="23"/>
  <c r="I11" i="23"/>
  <c r="G13" i="23"/>
  <c r="C14" i="23"/>
  <c r="D14" i="23"/>
  <c r="E14" i="23"/>
  <c r="F14" i="23"/>
  <c r="C27" i="25"/>
  <c r="G18" i="23"/>
  <c r="H18" i="23" s="1"/>
  <c r="I18" i="23" s="1"/>
  <c r="C19" i="23"/>
  <c r="D19" i="23"/>
  <c r="E19" i="23"/>
  <c r="F25" i="23"/>
  <c r="C25" i="23"/>
  <c r="D25" i="23"/>
  <c r="E25" i="23"/>
  <c r="E26" i="23" s="1"/>
  <c r="C26" i="23"/>
  <c r="D26" i="23"/>
  <c r="I40" i="22"/>
  <c r="H40" i="22"/>
  <c r="G40" i="22"/>
  <c r="D40" i="22"/>
  <c r="E40" i="22"/>
  <c r="G4" i="23"/>
  <c r="H4" i="23"/>
  <c r="I4" i="23"/>
  <c r="D4" i="23"/>
  <c r="E4" i="23"/>
  <c r="F4" i="23"/>
  <c r="C4" i="23"/>
  <c r="H33" i="22"/>
  <c r="I33" i="22"/>
  <c r="G33" i="22"/>
  <c r="H20" i="22"/>
  <c r="I20" i="22"/>
  <c r="G20" i="22"/>
  <c r="G15" i="22"/>
  <c r="F14" i="22"/>
  <c r="H15" i="22"/>
  <c r="I15" i="22"/>
  <c r="H10" i="22"/>
  <c r="I10" i="22"/>
  <c r="G10" i="22"/>
  <c r="F9" i="22"/>
  <c r="E23" i="7"/>
  <c r="E24" i="7" s="1"/>
  <c r="F33" i="22"/>
  <c r="E33" i="22"/>
  <c r="D33" i="22"/>
  <c r="C33" i="22"/>
  <c r="F32" i="22"/>
  <c r="E32" i="22"/>
  <c r="D32" i="22"/>
  <c r="C32" i="22"/>
  <c r="F27" i="22"/>
  <c r="E27" i="22"/>
  <c r="D27" i="22"/>
  <c r="C27" i="22"/>
  <c r="F24" i="22"/>
  <c r="E24" i="22"/>
  <c r="D24" i="22"/>
  <c r="C24" i="22"/>
  <c r="F20" i="22"/>
  <c r="E20" i="22"/>
  <c r="D20" i="22"/>
  <c r="C20" i="22"/>
  <c r="F19" i="22"/>
  <c r="E19" i="22"/>
  <c r="D19" i="22"/>
  <c r="C19" i="22"/>
  <c r="E14" i="22"/>
  <c r="D14" i="22"/>
  <c r="C14" i="22"/>
  <c r="E9" i="22"/>
  <c r="D9" i="22"/>
  <c r="C9" i="22"/>
  <c r="D6" i="22"/>
  <c r="E6" i="22"/>
  <c r="F6" i="22"/>
  <c r="C6" i="22"/>
  <c r="C11" i="22" s="1"/>
  <c r="C10" i="22" l="1"/>
  <c r="D78" i="21"/>
  <c r="E4" i="21"/>
  <c r="F19" i="23"/>
  <c r="F26" i="23" s="1"/>
  <c r="H13" i="23"/>
  <c r="I13" i="23" s="1"/>
  <c r="E20" i="24"/>
  <c r="D20" i="24"/>
  <c r="C20" i="24"/>
  <c r="D8" i="25"/>
  <c r="E8" i="25"/>
  <c r="C8" i="25"/>
  <c r="C28" i="23"/>
  <c r="D28" i="23"/>
  <c r="E28" i="23"/>
  <c r="F28" i="23"/>
  <c r="C16" i="22"/>
  <c r="C17" i="22" s="1"/>
  <c r="C12" i="22"/>
  <c r="F15" i="22"/>
  <c r="F11" i="22"/>
  <c r="G6" i="22"/>
  <c r="C26" i="25" s="1"/>
  <c r="C28" i="25" s="1"/>
  <c r="E11" i="22"/>
  <c r="D11" i="22"/>
  <c r="D10" i="22"/>
  <c r="E10" i="22"/>
  <c r="C15" i="22"/>
  <c r="D15" i="22"/>
  <c r="E15" i="22"/>
  <c r="H24" i="22"/>
  <c r="I24" i="22"/>
  <c r="G24" i="22"/>
  <c r="C28" i="22"/>
  <c r="D28" i="22"/>
  <c r="E28" i="22"/>
  <c r="F28" i="22"/>
  <c r="G27" i="22"/>
  <c r="F10" i="22"/>
  <c r="E7" i="7"/>
  <c r="E15" i="7"/>
  <c r="C15" i="24" l="1"/>
  <c r="E78" i="21"/>
  <c r="F4" i="21"/>
  <c r="H27" i="22"/>
  <c r="G28" i="22"/>
  <c r="D16" i="22"/>
  <c r="D12" i="22"/>
  <c r="E16" i="22"/>
  <c r="E12" i="22"/>
  <c r="G19" i="22"/>
  <c r="G14" i="22"/>
  <c r="G9" i="22"/>
  <c r="G11" i="22"/>
  <c r="G12" i="22" s="1"/>
  <c r="G24" i="23"/>
  <c r="C16" i="24" s="1"/>
  <c r="H6" i="22"/>
  <c r="D26" i="25" s="1"/>
  <c r="D28" i="25" s="1"/>
  <c r="D15" i="24" s="1"/>
  <c r="F16" i="22"/>
  <c r="F12" i="22"/>
  <c r="C21" i="22"/>
  <c r="G22" i="23" l="1"/>
  <c r="C11" i="24" s="1"/>
  <c r="G21" i="23"/>
  <c r="C9" i="24" s="1"/>
  <c r="C8" i="24"/>
  <c r="G16" i="23"/>
  <c r="F78" i="21"/>
  <c r="G4" i="21"/>
  <c r="C17" i="24"/>
  <c r="G12" i="23"/>
  <c r="C25" i="22"/>
  <c r="C29" i="22" s="1"/>
  <c r="C22" i="22"/>
  <c r="F17" i="22"/>
  <c r="F21" i="22"/>
  <c r="H19" i="22"/>
  <c r="D8" i="24" s="1"/>
  <c r="H14" i="22"/>
  <c r="I6" i="22"/>
  <c r="D7" i="26" s="1"/>
  <c r="H9" i="22"/>
  <c r="H7" i="22"/>
  <c r="H24" i="23" s="1"/>
  <c r="G16" i="22"/>
  <c r="E21" i="22"/>
  <c r="E17" i="22"/>
  <c r="D21" i="22"/>
  <c r="D17" i="22"/>
  <c r="I27" i="22"/>
  <c r="I28" i="22" s="1"/>
  <c r="H28" i="22"/>
  <c r="E26" i="25" l="1"/>
  <c r="E28" i="25" s="1"/>
  <c r="E15" i="24" s="1"/>
  <c r="D6" i="26"/>
  <c r="G78" i="21"/>
  <c r="H4" i="21"/>
  <c r="H16" i="23"/>
  <c r="G19" i="23"/>
  <c r="C10" i="24"/>
  <c r="D16" i="24"/>
  <c r="D17" i="24" s="1"/>
  <c r="H19" i="23"/>
  <c r="H22" i="23"/>
  <c r="D11" i="24" s="1"/>
  <c r="H21" i="23"/>
  <c r="D9" i="24" s="1"/>
  <c r="H11" i="22"/>
  <c r="H12" i="23"/>
  <c r="D10" i="24" s="1"/>
  <c r="D25" i="22"/>
  <c r="D29" i="22" s="1"/>
  <c r="D22" i="22"/>
  <c r="E25" i="22"/>
  <c r="E29" i="22" s="1"/>
  <c r="E22" i="22"/>
  <c r="G21" i="22"/>
  <c r="G17" i="22"/>
  <c r="H16" i="22"/>
  <c r="H12" i="22"/>
  <c r="I19" i="22"/>
  <c r="I14" i="22"/>
  <c r="I9" i="22"/>
  <c r="I7" i="22"/>
  <c r="I24" i="23" s="1"/>
  <c r="E16" i="24" s="1"/>
  <c r="E17" i="24" s="1"/>
  <c r="F25" i="22"/>
  <c r="F29" i="22" s="1"/>
  <c r="F22" i="22"/>
  <c r="C34" i="22"/>
  <c r="C30" i="22"/>
  <c r="B34" i="2"/>
  <c r="C34" i="2"/>
  <c r="D34" i="2"/>
  <c r="E34" i="2"/>
  <c r="F34" i="2"/>
  <c r="G34" i="2"/>
  <c r="H34" i="2"/>
  <c r="I34" i="2"/>
  <c r="J34" i="2"/>
  <c r="K34" i="2"/>
  <c r="E74" i="2"/>
  <c r="B74" i="2"/>
  <c r="C74" i="2"/>
  <c r="D74" i="2"/>
  <c r="F74" i="2"/>
  <c r="G74" i="2"/>
  <c r="H74" i="2"/>
  <c r="I74" i="2"/>
  <c r="J74" i="2"/>
  <c r="K74" i="2"/>
  <c r="E14" i="7"/>
  <c r="E13" i="7"/>
  <c r="E12" i="7"/>
  <c r="E11" i="7"/>
  <c r="E10" i="7"/>
  <c r="E9" i="7"/>
  <c r="E8" i="7"/>
  <c r="B7" i="7"/>
  <c r="B8" i="7" s="1"/>
  <c r="B9" i="7" s="1"/>
  <c r="B10" i="7" s="1"/>
  <c r="B11" i="7" s="1"/>
  <c r="B12" i="7" s="1"/>
  <c r="B13" i="7" s="1"/>
  <c r="B14" i="7" s="1"/>
  <c r="B15" i="7" s="1"/>
  <c r="B16" i="7" s="1"/>
  <c r="B6" i="2"/>
  <c r="E1" i="2"/>
  <c r="D16" i="7" l="1"/>
  <c r="E16" i="7" s="1"/>
  <c r="C7" i="25" s="1"/>
  <c r="E8" i="24"/>
  <c r="I16" i="23"/>
  <c r="I19" i="23" s="1"/>
  <c r="H78" i="21"/>
  <c r="I4" i="21"/>
  <c r="C35" i="22"/>
  <c r="C38" i="22"/>
  <c r="I22" i="23"/>
  <c r="E11" i="24" s="1"/>
  <c r="I21" i="23"/>
  <c r="I11" i="22"/>
  <c r="I12" i="22" s="1"/>
  <c r="D14" i="26" s="1"/>
  <c r="E10" i="24"/>
  <c r="F34" i="22"/>
  <c r="F30" i="22"/>
  <c r="I16" i="22"/>
  <c r="D8" i="26" s="1"/>
  <c r="H21" i="22"/>
  <c r="H17" i="22"/>
  <c r="G25" i="22"/>
  <c r="G29" i="22" s="1"/>
  <c r="G22" i="22"/>
  <c r="E34" i="22"/>
  <c r="E30" i="22"/>
  <c r="D34" i="22"/>
  <c r="D30" i="22"/>
  <c r="B17" i="7"/>
  <c r="D17" i="7" s="1"/>
  <c r="E17" i="7" s="1"/>
  <c r="D7" i="25" s="1"/>
  <c r="D22" i="26" l="1"/>
  <c r="D23" i="26" s="1"/>
  <c r="I78" i="21"/>
  <c r="J4" i="21"/>
  <c r="E9" i="24"/>
  <c r="D35" i="22"/>
  <c r="D38" i="22"/>
  <c r="E35" i="22"/>
  <c r="E38" i="22"/>
  <c r="F35" i="22"/>
  <c r="F38" i="22"/>
  <c r="C41" i="22"/>
  <c r="G32" i="22"/>
  <c r="G34" i="22" s="1"/>
  <c r="G30" i="22"/>
  <c r="H25" i="22"/>
  <c r="H29" i="22" s="1"/>
  <c r="H22" i="22"/>
  <c r="I21" i="22"/>
  <c r="I17" i="22"/>
  <c r="D16" i="26" s="1"/>
  <c r="B18" i="7"/>
  <c r="D18" i="7" l="1"/>
  <c r="E18" i="7" s="1"/>
  <c r="E7" i="25" s="1"/>
  <c r="G38" i="22"/>
  <c r="C7" i="24"/>
  <c r="C12" i="24" s="1"/>
  <c r="J78" i="21"/>
  <c r="K4" i="21"/>
  <c r="C44" i="22"/>
  <c r="C43" i="22"/>
  <c r="F41" i="22"/>
  <c r="F44" i="22"/>
  <c r="F43" i="22"/>
  <c r="E41" i="22"/>
  <c r="D41" i="22"/>
  <c r="G41" i="22"/>
  <c r="G35" i="22"/>
  <c r="I25" i="22"/>
  <c r="I29" i="22" s="1"/>
  <c r="I22" i="22"/>
  <c r="D15" i="26" s="1"/>
  <c r="H32" i="22"/>
  <c r="H34" i="22" s="1"/>
  <c r="H30" i="22"/>
  <c r="H38" i="22" l="1"/>
  <c r="D7" i="24"/>
  <c r="D12" i="24" s="1"/>
  <c r="C21" i="24"/>
  <c r="C22" i="24" s="1"/>
  <c r="G7" i="23"/>
  <c r="K78" i="21"/>
  <c r="L4" i="21"/>
  <c r="C24" i="24"/>
  <c r="G23" i="23" s="1"/>
  <c r="G25" i="23" s="1"/>
  <c r="G26" i="23" s="1"/>
  <c r="D44" i="22"/>
  <c r="D43" i="22"/>
  <c r="E43" i="22"/>
  <c r="E44" i="22"/>
  <c r="H41" i="22"/>
  <c r="D21" i="24" s="1"/>
  <c r="D22" i="24" s="1"/>
  <c r="G44" i="22"/>
  <c r="G43" i="22"/>
  <c r="H35" i="22"/>
  <c r="G8" i="23"/>
  <c r="G14" i="23" s="1"/>
  <c r="I32" i="22"/>
  <c r="I34" i="22" s="1"/>
  <c r="D9" i="26" s="1"/>
  <c r="I30" i="22"/>
  <c r="I38" i="22" l="1"/>
  <c r="E7" i="24"/>
  <c r="E12" i="24" s="1"/>
  <c r="L78" i="21"/>
  <c r="H7" i="23"/>
  <c r="D24" i="24"/>
  <c r="H23" i="23" s="1"/>
  <c r="H25" i="23" s="1"/>
  <c r="H26" i="23" s="1"/>
  <c r="I41" i="22"/>
  <c r="E21" i="24" s="1"/>
  <c r="E22" i="24" s="1"/>
  <c r="H44" i="22"/>
  <c r="H43" i="22"/>
  <c r="I35" i="22"/>
  <c r="D17" i="26" s="1"/>
  <c r="H8" i="23"/>
  <c r="I7" i="23" l="1"/>
  <c r="E24" i="24"/>
  <c r="I23" i="23" s="1"/>
  <c r="I44" i="22"/>
  <c r="I8" i="23" s="1"/>
  <c r="I43" i="22"/>
  <c r="D21" i="26" l="1"/>
  <c r="I14" i="23"/>
  <c r="I25" i="23"/>
  <c r="I26" i="23" s="1"/>
  <c r="D10" i="26"/>
  <c r="G28" i="23"/>
  <c r="I28" i="23" l="1"/>
  <c r="H14" i="23"/>
  <c r="H28" i="23" s="1"/>
  <c r="E6" i="7"/>
</calcChain>
</file>

<file path=xl/sharedStrings.xml><?xml version="1.0" encoding="utf-8"?>
<sst xmlns="http://schemas.openxmlformats.org/spreadsheetml/2006/main" count="316" uniqueCount="223">
  <si>
    <t>BY - Mohd Anas</t>
  </si>
  <si>
    <t>#</t>
  </si>
  <si>
    <t>Income Statement</t>
  </si>
  <si>
    <t>Sales</t>
  </si>
  <si>
    <t>Sales Growth</t>
  </si>
  <si>
    <t>COGS</t>
  </si>
  <si>
    <t>COGS % of Sales</t>
  </si>
  <si>
    <t>Gross Profit</t>
  </si>
  <si>
    <t>Gross Margin</t>
  </si>
  <si>
    <t>Selling &amp; General Exp.</t>
  </si>
  <si>
    <t>S&amp;G Exp.% of Sales</t>
  </si>
  <si>
    <t>EBITDA</t>
  </si>
  <si>
    <t xml:space="preserve">EBITDA % of Sales </t>
  </si>
  <si>
    <t>Depriciation</t>
  </si>
  <si>
    <t>Depriciation % of Sales</t>
  </si>
  <si>
    <t>EBIT</t>
  </si>
  <si>
    <t xml:space="preserve">EBIT % of Sales </t>
  </si>
  <si>
    <t>Other Non Operating income</t>
  </si>
  <si>
    <t>Profit Before Interest</t>
  </si>
  <si>
    <t>Interest</t>
  </si>
  <si>
    <t>Interest % of Sales</t>
  </si>
  <si>
    <t>Profit Before Tax</t>
  </si>
  <si>
    <t>EBT % of Sales</t>
  </si>
  <si>
    <t>Tax</t>
  </si>
  <si>
    <t>Effective Tax Rate</t>
  </si>
  <si>
    <t>Net Profit</t>
  </si>
  <si>
    <t>Net Margins</t>
  </si>
  <si>
    <t>Minority Share</t>
  </si>
  <si>
    <t>Profit for EPS</t>
  </si>
  <si>
    <t>No. of Equity Shares</t>
  </si>
  <si>
    <t>Earning per share (EPS)</t>
  </si>
  <si>
    <t>EPS Growth Rate %</t>
  </si>
  <si>
    <t>Dividend per share</t>
  </si>
  <si>
    <t>Dividend Ratio</t>
  </si>
  <si>
    <t>Retained Earning in %</t>
  </si>
  <si>
    <t>Balance Sheet</t>
  </si>
  <si>
    <t>Equity Share Capital</t>
  </si>
  <si>
    <t>Reserves</t>
  </si>
  <si>
    <t>Borrowings</t>
  </si>
  <si>
    <t>Other Liabilities</t>
  </si>
  <si>
    <t>Total Laibilities</t>
  </si>
  <si>
    <t>Fixed Asset Net Block</t>
  </si>
  <si>
    <t>Capital Work in Progress</t>
  </si>
  <si>
    <t>Investments</t>
  </si>
  <si>
    <t>Other Assets</t>
  </si>
  <si>
    <t>Total Non Current Asset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</si>
  <si>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</si>
  <si>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</si>
  <si>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</si>
  <si>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</si>
  <si>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</si>
  <si>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</si>
  <si>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</si>
  <si>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Operating Activities</t>
  </si>
  <si>
    <t>Cash from Operating Activities</t>
  </si>
  <si>
    <t>Investing Activities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</si>
  <si>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</si>
  <si>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</si>
  <si>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</si>
  <si>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</si>
  <si>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</si>
  <si>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</si>
  <si>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</si>
  <si>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Issue of shares on acq</t>
  </si>
  <si>
    <t>Redemp n Canc of Shares</t>
  </si>
  <si>
    <t>Acquisition of companies</t>
  </si>
  <si>
    <t>Inter corporate deposits</t>
  </si>
  <si>
    <t>Other investing items</t>
  </si>
  <si>
    <t>Cash from Investing Activities</t>
  </si>
  <si>
    <t>Financing Activities</t>
  </si>
  <si>
    <t>Proceed of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</si>
  <si>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</si>
  <si>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</si>
  <si>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</si>
  <si>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</si>
  <si>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</si>
  <si>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</si>
  <si>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FinancingActivities</t>
  </si>
  <si>
    <t>Net Cash Flow</t>
  </si>
  <si>
    <t>EBITDA Margin</t>
  </si>
  <si>
    <t>EBIT Margin</t>
  </si>
  <si>
    <t>Net Profit Margin</t>
  </si>
  <si>
    <t>Total Liabilities</t>
  </si>
  <si>
    <t>Year</t>
  </si>
  <si>
    <t>Tax Rate</t>
  </si>
  <si>
    <t>Gross Block</t>
  </si>
  <si>
    <t>COMPANY NAME</t>
  </si>
  <si>
    <t>MAHINDRA &amp; MAHINDRA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</si>
  <si>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</si>
  <si>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</si>
  <si>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</si>
  <si>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</si>
  <si>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</si>
  <si>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</si>
  <si>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</si>
  <si>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</si>
  <si>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</si>
  <si>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</si>
  <si>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</si>
  <si>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</si>
  <si>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</si>
  <si>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</si>
  <si>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</si>
  <si>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</si>
  <si>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</si>
  <si>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</si>
  <si>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</si>
  <si>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</si>
  <si>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</si>
  <si>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</si>
  <si>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</si>
  <si>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</si>
  <si>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</si>
  <si>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</si>
  <si>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Total</t>
  </si>
  <si>
    <t>Net Block</t>
  </si>
  <si>
    <t>New Bonus Shares</t>
  </si>
  <si>
    <t>Face value</t>
  </si>
  <si>
    <t>other asset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</si>
  <si>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</si>
  <si>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</si>
  <si>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</si>
  <si>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</si>
  <si>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</si>
  <si>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</si>
  <si>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</si>
  <si>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</si>
  <si>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</si>
  <si>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</si>
  <si>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</si>
  <si>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</si>
  <si>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</si>
  <si>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Equity Capital</t>
  </si>
  <si>
    <t>Borrowings -</t>
  </si>
  <si>
    <t>Long term Borrowings</t>
  </si>
  <si>
    <t>Short term Borrowings</t>
  </si>
  <si>
    <t>Lease Liabilities</t>
  </si>
  <si>
    <t>Preference Capital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</si>
  <si>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</si>
  <si>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</si>
  <si>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</si>
  <si>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</si>
  <si>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</si>
  <si>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</si>
  <si>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</si>
  <si>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</si>
  <si>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</si>
  <si>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</si>
  <si>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</si>
  <si>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</si>
  <si>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</si>
  <si>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</si>
  <si>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</si>
  <si>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Accumulated Depreciation</t>
  </si>
  <si>
    <t>CWIP</t>
  </si>
  <si>
    <t>Other Assets -</t>
  </si>
  <si>
    <t>Inventories</t>
  </si>
  <si>
    <t xml:space="preserve">Trade receivables </t>
  </si>
  <si>
    <t>Cash Equivalents</t>
  </si>
  <si>
    <t>Loans n Advances</t>
  </si>
  <si>
    <t>Other asset items</t>
  </si>
  <si>
    <t>Figures in INR</t>
  </si>
  <si>
    <t>1st year sales</t>
  </si>
  <si>
    <t>10th year sales</t>
  </si>
  <si>
    <t>Sales Growth CAGR (10 years)</t>
  </si>
  <si>
    <t>10 years Sales CAGR</t>
  </si>
  <si>
    <t>Historical Sales CAGR (10 Years)</t>
  </si>
  <si>
    <t>Selling &amp; General Exp. %of Sales</t>
  </si>
  <si>
    <t xml:space="preserve">Interest Rate </t>
  </si>
  <si>
    <t>Total Equity</t>
  </si>
  <si>
    <t xml:space="preserve">Dividend  Paid % </t>
  </si>
  <si>
    <t>Trade Payables % of COGS</t>
  </si>
  <si>
    <t>Retained Amount</t>
  </si>
  <si>
    <t>Trade Receivables % of COGS</t>
  </si>
  <si>
    <t>Inventory % of COGS</t>
  </si>
  <si>
    <t>Capex % of Sales</t>
  </si>
  <si>
    <t xml:space="preserve">Capex </t>
  </si>
  <si>
    <t>Capex Amount</t>
  </si>
  <si>
    <t>Profit for Equity Share Holder</t>
  </si>
  <si>
    <t>Dividend % of Profit for Equity Share Holder</t>
  </si>
  <si>
    <t>Trade Receivables</t>
  </si>
  <si>
    <t>Change in Trade Receivables</t>
  </si>
  <si>
    <t>Change in Trade Payables</t>
  </si>
  <si>
    <t>Capex</t>
  </si>
  <si>
    <t>Change in Debt</t>
  </si>
  <si>
    <t xml:space="preserve">CWIP </t>
  </si>
  <si>
    <t>Net Capex for the Year</t>
  </si>
  <si>
    <t>Change in Other Asset</t>
  </si>
  <si>
    <t>Balance Sheet - Forecast</t>
  </si>
  <si>
    <t>Income Statement - Forecast</t>
  </si>
  <si>
    <t>Cash Flow Statement</t>
  </si>
  <si>
    <t>Company Overview KPI's</t>
  </si>
  <si>
    <t>Cash Balance</t>
  </si>
  <si>
    <r>
      <t xml:space="preserve">Sales CAGR  </t>
    </r>
    <r>
      <rPr>
        <b/>
        <sz val="11"/>
        <color rgb="FF002060"/>
        <rFont val="Calibri"/>
        <family val="2"/>
      </rPr>
      <t>2025-2028</t>
    </r>
  </si>
  <si>
    <t>Growth &amp; Profitability</t>
  </si>
  <si>
    <t>Gross margin</t>
  </si>
  <si>
    <t>Balance Sheet Strength</t>
  </si>
  <si>
    <t>Debt/Equity</t>
  </si>
  <si>
    <t>Working Capital</t>
  </si>
  <si>
    <t>Working Capital % of Sales</t>
  </si>
  <si>
    <t>&gt;</t>
  </si>
  <si>
    <t>D/E 1.04x Indicates balanced capital structure with moderate financial leverage supporting growth investments without excessive risk.</t>
  </si>
  <si>
    <t>Summary Dashboard</t>
  </si>
  <si>
    <t>Assumptions</t>
  </si>
  <si>
    <t xml:space="preserve">Income Statement </t>
  </si>
  <si>
    <t>Cash flow Statement</t>
  </si>
  <si>
    <t xml:space="preserve">Excel Forecast Implied Growth: </t>
  </si>
  <si>
    <t>Sales Trend Analysis</t>
  </si>
  <si>
    <t>Company Data</t>
  </si>
  <si>
    <t xml:space="preserve">3-Statement Model &amp; Forecast - Mahindra &amp; Mahindra LTD. </t>
  </si>
  <si>
    <t>Cash Flow Statement - Forecast</t>
  </si>
  <si>
    <t>Assumed Sales Growth Rate</t>
  </si>
  <si>
    <t>Weight of year</t>
  </si>
  <si>
    <t>Hitorical Financial Statement - MAHINDRA &amp; MAHINDRA LTD.</t>
  </si>
  <si>
    <t>Debt  Assumed Constant For Simplicity</t>
  </si>
  <si>
    <t>Figures in INR Crores</t>
  </si>
  <si>
    <t>Balance Sheet Assumptions</t>
  </si>
  <si>
    <t>Income Statement Assumptions</t>
  </si>
  <si>
    <t>Operating margins are kept broadly stable, reflecting cost discipline and pricing power rather than aggressive efficiency expansion.</t>
  </si>
  <si>
    <t>Capital expenditure assumed as a fixed % of sales to reflect ongoing investment in manufacturing capacity, EV transition, and product development.</t>
  </si>
  <si>
    <t>Key Insights &amp; Assumptions</t>
  </si>
  <si>
    <t>Sales forecast assumes steady growth driven by continued strength in SUV and tractor segments, aligned with M&amp;M’s rural demand exposure and domestic market leadership.</t>
  </si>
  <si>
    <t xml:space="preserve"> Summary Dashboard - Mahindra &amp; Mahindra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</si>
</sst>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$&quot;#,##0.00"/>
    <numFmt numFmtId="167" formatCode="0.0"/>
    <numFmt numFmtId="168" formatCode="[$₹-4009]\ #,##0.00"/>
    <numFmt numFmtId="169" formatCode="#&quot;A&quot;"/>
    <numFmt numFmtId="170" formatCode="#&quot;F&quot;"/>
    <numFmt numFmtId="171" formatCode="[$₹-4009]\ #,##0"/>
    <numFmt numFmtId="172" formatCode="#"/>
    <numFmt numFmtId="173" formatCode="0.00&quot;x&quot;"/>
  </numFmts>
  <fonts count="3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34998626667073579"/>
      <name val="Calibri"/>
      <family val="2"/>
    </font>
    <font>
      <i/>
      <sz val="11"/>
      <color theme="0" tint="-0.34998626667073579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b/>
      <sz val="20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7" tint="-0.249977111117893"/>
      <name val="Calibri"/>
      <family val="2"/>
    </font>
    <font>
      <b/>
      <sz val="14"/>
      <color theme="7" tint="-0.249977111117893"/>
      <name val="Calibri"/>
      <family val="2"/>
    </font>
    <font>
      <sz val="14"/>
      <color theme="7" tint="-0.249977111117893"/>
      <name val="Calibri"/>
      <family val="2"/>
    </font>
    <font>
      <i/>
      <sz val="11"/>
      <color theme="2" tint="-0.499984740745262"/>
      <name val="Calibri"/>
      <family val="2"/>
    </font>
    <font>
      <b/>
      <sz val="11"/>
      <color theme="7" tint="-0.49998474074526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4"/>
      <color rgb="FF002060"/>
      <name val="Calibri"/>
      <family val="2"/>
    </font>
    <font>
      <b/>
      <sz val="11"/>
      <color rgb="FF002060"/>
      <name val="Calibri"/>
      <family val="2"/>
    </font>
    <font>
      <i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8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7F3FF"/>
        <bgColor indexed="64"/>
      </patternFill>
    </fill>
    <fill>
      <patternFill patternType="solid">
        <fgColor rgb="FFF3F9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5" fillId="0" borderId="0"/>
  </cellStyleXfs>
  <cellXfs count="170">
    <xf numFmtId="0" fontId="0" fillId="0" borderId="0" xfId="0"/>
    <xf numFmtId="164" fontId="6" fillId="0" borderId="0" xfId="2" applyFont="1" applyBorder="1"/>
    <xf numFmtId="164" fontId="0" fillId="0" borderId="0" xfId="2" applyFont="1" applyBorder="1"/>
    <xf numFmtId="0" fontId="5" fillId="0" borderId="0" xfId="5"/>
    <xf numFmtId="165" fontId="8" fillId="3" borderId="0" xfId="2" applyNumberFormat="1" applyFont="1" applyFill="1" applyBorder="1"/>
    <xf numFmtId="165" fontId="8" fillId="3" borderId="0" xfId="5" applyNumberFormat="1" applyFont="1" applyFill="1" applyAlignment="1">
      <alignment horizontal="center"/>
    </xf>
    <xf numFmtId="165" fontId="9" fillId="0" borderId="0" xfId="2" applyNumberFormat="1" applyFont="1" applyFill="1" applyBorder="1"/>
    <xf numFmtId="164" fontId="5" fillId="0" borderId="0" xfId="2" applyFont="1" applyBorder="1"/>
    <xf numFmtId="43" fontId="0" fillId="0" borderId="0" xfId="2" applyNumberFormat="1" applyFont="1" applyBorder="1"/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0" fillId="0" borderId="0" xfId="0" applyFont="1"/>
    <xf numFmtId="166" fontId="3" fillId="0" borderId="0" xfId="0" applyNumberFormat="1" applyFont="1"/>
    <xf numFmtId="3" fontId="0" fillId="0" borderId="0" xfId="0" applyNumberForma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0" fillId="0" borderId="0" xfId="0" applyAlignment="1">
      <alignment horizontal="left"/>
    </xf>
    <xf numFmtId="0" fontId="2" fillId="7" borderId="0" xfId="0" applyFont="1" applyFill="1"/>
    <xf numFmtId="10" fontId="0" fillId="8" borderId="0" xfId="1" applyNumberFormat="1" applyFont="1" applyFill="1"/>
    <xf numFmtId="0" fontId="15" fillId="0" borderId="0" xfId="0" applyFont="1"/>
    <xf numFmtId="2" fontId="0" fillId="8" borderId="0" xfId="0" applyNumberFormat="1" applyFill="1"/>
    <xf numFmtId="10" fontId="0" fillId="0" borderId="0" xfId="1" applyNumberFormat="1" applyFont="1" applyFill="1" applyBorder="1"/>
    <xf numFmtId="0" fontId="3" fillId="4" borderId="3" xfId="0" applyFont="1" applyFill="1" applyBorder="1"/>
    <xf numFmtId="0" fontId="3" fillId="9" borderId="1" xfId="0" applyFont="1" applyFill="1" applyBorder="1"/>
    <xf numFmtId="0" fontId="3" fillId="8" borderId="0" xfId="0" applyFont="1" applyFill="1"/>
    <xf numFmtId="0" fontId="0" fillId="8" borderId="0" xfId="0" applyFill="1"/>
    <xf numFmtId="0" fontId="3" fillId="5" borderId="1" xfId="0" applyFont="1" applyFill="1" applyBorder="1"/>
    <xf numFmtId="3" fontId="0" fillId="8" borderId="0" xfId="0" applyNumberFormat="1" applyFill="1"/>
    <xf numFmtId="0" fontId="3" fillId="8" borderId="1" xfId="0" applyFont="1" applyFill="1" applyBorder="1"/>
    <xf numFmtId="3" fontId="0" fillId="0" borderId="2" xfId="0" applyNumberFormat="1" applyBorder="1"/>
    <xf numFmtId="3" fontId="0" fillId="0" borderId="3" xfId="0" applyNumberFormat="1" applyBorder="1"/>
    <xf numFmtId="3" fontId="3" fillId="0" borderId="0" xfId="0" applyNumberFormat="1" applyFont="1"/>
    <xf numFmtId="3" fontId="3" fillId="8" borderId="1" xfId="0" applyNumberFormat="1" applyFont="1" applyFill="1" applyBorder="1"/>
    <xf numFmtId="167" fontId="0" fillId="0" borderId="0" xfId="0" applyNumberFormat="1"/>
    <xf numFmtId="0" fontId="0" fillId="8" borderId="4" xfId="0" applyFill="1" applyBorder="1" applyAlignment="1">
      <alignment horizontal="left"/>
    </xf>
    <xf numFmtId="0" fontId="0" fillId="8" borderId="0" xfId="0" applyFill="1" applyAlignment="1">
      <alignment horizontal="left"/>
    </xf>
    <xf numFmtId="10" fontId="0" fillId="8" borderId="4" xfId="1" applyNumberFormat="1" applyFont="1" applyFill="1" applyBorder="1"/>
    <xf numFmtId="0" fontId="0" fillId="12" borderId="0" xfId="0" applyFill="1"/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left"/>
    </xf>
    <xf numFmtId="0" fontId="0" fillId="10" borderId="2" xfId="0" applyFill="1" applyBorder="1" applyAlignment="1">
      <alignment horizontal="center"/>
    </xf>
    <xf numFmtId="0" fontId="18" fillId="10" borderId="2" xfId="0" applyFont="1" applyFill="1" applyBorder="1" applyAlignment="1">
      <alignment vertical="center"/>
    </xf>
    <xf numFmtId="14" fontId="0" fillId="0" borderId="0" xfId="0" applyNumberFormat="1"/>
    <xf numFmtId="10" fontId="0" fillId="0" borderId="0" xfId="1" applyNumberFormat="1" applyFont="1" applyFill="1"/>
    <xf numFmtId="10" fontId="11" fillId="0" borderId="0" xfId="1" applyNumberFormat="1" applyFont="1" applyFill="1" applyBorder="1"/>
    <xf numFmtId="0" fontId="16" fillId="0" borderId="0" xfId="0" applyFont="1" applyAlignment="1">
      <alignment horizontal="center"/>
    </xf>
    <xf numFmtId="0" fontId="0" fillId="0" borderId="1" xfId="0" applyBorder="1"/>
    <xf numFmtId="10" fontId="11" fillId="0" borderId="0" xfId="1" applyNumberFormat="1" applyFont="1" applyFill="1" applyBorder="1" applyAlignment="1">
      <alignment horizontal="right"/>
    </xf>
    <xf numFmtId="0" fontId="3" fillId="13" borderId="0" xfId="0" applyFont="1" applyFill="1"/>
    <xf numFmtId="10" fontId="21" fillId="5" borderId="0" xfId="1" applyNumberFormat="1" applyFont="1" applyFill="1"/>
    <xf numFmtId="168" fontId="0" fillId="0" borderId="0" xfId="0" applyNumberFormat="1"/>
    <xf numFmtId="4" fontId="0" fillId="0" borderId="0" xfId="0" applyNumberFormat="1"/>
    <xf numFmtId="4" fontId="0" fillId="0" borderId="1" xfId="0" applyNumberFormat="1" applyBorder="1"/>
    <xf numFmtId="0" fontId="0" fillId="6" borderId="0" xfId="0" applyFill="1"/>
    <xf numFmtId="167" fontId="0" fillId="6" borderId="0" xfId="0" applyNumberFormat="1" applyFill="1"/>
    <xf numFmtId="2" fontId="0" fillId="6" borderId="0" xfId="0" applyNumberFormat="1" applyFill="1"/>
    <xf numFmtId="10" fontId="21" fillId="6" borderId="0" xfId="1" applyNumberFormat="1" applyFont="1" applyFill="1"/>
    <xf numFmtId="4" fontId="0" fillId="6" borderId="0" xfId="0" applyNumberFormat="1" applyFill="1"/>
    <xf numFmtId="10" fontId="21" fillId="5" borderId="0" xfId="1" applyNumberFormat="1" applyFont="1" applyFill="1" applyAlignment="1">
      <alignment horizontal="center"/>
    </xf>
    <xf numFmtId="0" fontId="21" fillId="0" borderId="0" xfId="0" applyFont="1"/>
    <xf numFmtId="4" fontId="3" fillId="0" borderId="0" xfId="0" applyNumberFormat="1" applyFont="1"/>
    <xf numFmtId="170" fontId="22" fillId="0" borderId="0" xfId="0" applyNumberFormat="1" applyFont="1"/>
    <xf numFmtId="0" fontId="22" fillId="10" borderId="0" xfId="0" applyFont="1" applyFill="1"/>
    <xf numFmtId="170" fontId="22" fillId="10" borderId="0" xfId="0" applyNumberFormat="1" applyFont="1" applyFill="1"/>
    <xf numFmtId="0" fontId="17" fillId="0" borderId="0" xfId="0" applyFont="1" applyAlignment="1">
      <alignment horizontal="center" vertical="center"/>
    </xf>
    <xf numFmtId="14" fontId="12" fillId="7" borderId="0" xfId="0" applyNumberFormat="1" applyFont="1" applyFill="1"/>
    <xf numFmtId="166" fontId="12" fillId="7" borderId="0" xfId="0" applyNumberFormat="1" applyFont="1" applyFill="1"/>
    <xf numFmtId="10" fontId="12" fillId="7" borderId="0" xfId="1" applyNumberFormat="1" applyFont="1" applyFill="1"/>
    <xf numFmtId="0" fontId="2" fillId="7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4" fontId="12" fillId="0" borderId="0" xfId="0" applyNumberFormat="1" applyFont="1"/>
    <xf numFmtId="166" fontId="12" fillId="0" borderId="0" xfId="0" applyNumberFormat="1" applyFont="1"/>
    <xf numFmtId="10" fontId="12" fillId="0" borderId="0" xfId="1" applyNumberFormat="1" applyFont="1" applyFill="1"/>
    <xf numFmtId="10" fontId="0" fillId="6" borderId="1" xfId="1" applyNumberFormat="1" applyFont="1" applyFill="1" applyBorder="1"/>
    <xf numFmtId="0" fontId="12" fillId="0" borderId="0" xfId="0" applyFont="1"/>
    <xf numFmtId="10" fontId="14" fillId="5" borderId="0" xfId="1" applyNumberFormat="1" applyFont="1" applyFill="1" applyBorder="1"/>
    <xf numFmtId="10" fontId="14" fillId="5" borderId="2" xfId="1" applyNumberFormat="1" applyFont="1" applyFill="1" applyBorder="1"/>
    <xf numFmtId="10" fontId="13" fillId="5" borderId="1" xfId="1" applyNumberFormat="1" applyFont="1" applyFill="1" applyBorder="1"/>
    <xf numFmtId="0" fontId="13" fillId="0" borderId="1" xfId="0" applyFont="1" applyBorder="1" applyAlignment="1">
      <alignment horizontal="left"/>
    </xf>
    <xf numFmtId="0" fontId="0" fillId="14" borderId="0" xfId="0" applyFill="1"/>
    <xf numFmtId="0" fontId="23" fillId="0" borderId="0" xfId="0" applyFont="1"/>
    <xf numFmtId="169" fontId="3" fillId="0" borderId="0" xfId="0" applyNumberFormat="1" applyFont="1"/>
    <xf numFmtId="170" fontId="3" fillId="0" borderId="0" xfId="0" applyNumberFormat="1" applyFont="1"/>
    <xf numFmtId="169" fontId="0" fillId="4" borderId="3" xfId="0" applyNumberFormat="1" applyFill="1" applyBorder="1"/>
    <xf numFmtId="170" fontId="0" fillId="4" borderId="3" xfId="0" applyNumberFormat="1" applyFill="1" applyBorder="1"/>
    <xf numFmtId="0" fontId="0" fillId="15" borderId="0" xfId="0" applyFill="1"/>
    <xf numFmtId="10" fontId="21" fillId="15" borderId="0" xfId="1" applyNumberFormat="1" applyFont="1" applyFill="1"/>
    <xf numFmtId="10" fontId="0" fillId="8" borderId="0" xfId="1" applyNumberFormat="1" applyFont="1" applyFill="1" applyBorder="1"/>
    <xf numFmtId="10" fontId="1" fillId="8" borderId="0" xfId="1" applyNumberFormat="1" applyFont="1" applyFill="1" applyBorder="1"/>
    <xf numFmtId="10" fontId="0" fillId="14" borderId="0" xfId="0" applyNumberFormat="1" applyFill="1"/>
    <xf numFmtId="10" fontId="0" fillId="14" borderId="0" xfId="1" applyNumberFormat="1" applyFont="1" applyFill="1" applyBorder="1"/>
    <xf numFmtId="9" fontId="0" fillId="0" borderId="0" xfId="1" applyFont="1"/>
    <xf numFmtId="0" fontId="0" fillId="5" borderId="0" xfId="0" applyFill="1"/>
    <xf numFmtId="2" fontId="14" fillId="5" borderId="0" xfId="1" applyNumberFormat="1" applyFont="1" applyFill="1" applyBorder="1"/>
    <xf numFmtId="0" fontId="3" fillId="5" borderId="2" xfId="0" applyFont="1" applyFill="1" applyBorder="1"/>
    <xf numFmtId="14" fontId="3" fillId="0" borderId="0" xfId="0" applyNumberFormat="1" applyFont="1"/>
    <xf numFmtId="0" fontId="3" fillId="6" borderId="1" xfId="0" applyFont="1" applyFill="1" applyBorder="1"/>
    <xf numFmtId="3" fontId="0" fillId="15" borderId="0" xfId="0" applyNumberFormat="1" applyFill="1"/>
    <xf numFmtId="3" fontId="3" fillId="0" borderId="2" xfId="0" applyNumberFormat="1" applyFont="1" applyBorder="1"/>
    <xf numFmtId="3" fontId="3" fillId="15" borderId="2" xfId="0" applyNumberFormat="1" applyFont="1" applyFill="1" applyBorder="1"/>
    <xf numFmtId="3" fontId="3" fillId="6" borderId="1" xfId="0" applyNumberFormat="1" applyFont="1" applyFill="1" applyBorder="1"/>
    <xf numFmtId="3" fontId="3" fillId="15" borderId="1" xfId="0" applyNumberFormat="1" applyFont="1" applyFill="1" applyBorder="1"/>
    <xf numFmtId="3" fontId="14" fillId="15" borderId="0" xfId="0" applyNumberFormat="1" applyFont="1" applyFill="1"/>
    <xf numFmtId="3" fontId="3" fillId="5" borderId="2" xfId="0" applyNumberFormat="1" applyFont="1" applyFill="1" applyBorder="1"/>
    <xf numFmtId="3" fontId="3" fillId="15" borderId="0" xfId="0" applyNumberFormat="1" applyFont="1" applyFill="1"/>
    <xf numFmtId="3" fontId="3" fillId="0" borderId="1" xfId="0" applyNumberFormat="1" applyFont="1" applyBorder="1"/>
    <xf numFmtId="3" fontId="3" fillId="5" borderId="1" xfId="0" applyNumberFormat="1" applyFont="1" applyFill="1" applyBorder="1"/>
    <xf numFmtId="3" fontId="3" fillId="8" borderId="0" xfId="0" applyNumberFormat="1" applyFont="1" applyFill="1"/>
    <xf numFmtId="3" fontId="3" fillId="14" borderId="0" xfId="0" applyNumberFormat="1" applyFont="1" applyFill="1"/>
    <xf numFmtId="10" fontId="21" fillId="5" borderId="0" xfId="1" applyNumberFormat="1" applyFont="1" applyFill="1" applyAlignment="1">
      <alignment horizontal="right"/>
    </xf>
    <xf numFmtId="10" fontId="21" fillId="15" borderId="0" xfId="1" applyNumberFormat="1" applyFont="1" applyFill="1" applyAlignment="1">
      <alignment horizontal="right"/>
    </xf>
    <xf numFmtId="3" fontId="3" fillId="9" borderId="1" xfId="0" applyNumberFormat="1" applyFont="1" applyFill="1" applyBorder="1"/>
    <xf numFmtId="0" fontId="14" fillId="0" borderId="0" xfId="0" applyFont="1"/>
    <xf numFmtId="171" fontId="14" fillId="0" borderId="0" xfId="0" applyNumberFormat="1" applyFont="1"/>
    <xf numFmtId="171" fontId="0" fillId="8" borderId="4" xfId="0" applyNumberFormat="1" applyFill="1" applyBorder="1"/>
    <xf numFmtId="171" fontId="0" fillId="8" borderId="0" xfId="0" applyNumberFormat="1" applyFill="1"/>
    <xf numFmtId="171" fontId="0" fillId="0" borderId="0" xfId="0" applyNumberFormat="1"/>
    <xf numFmtId="1" fontId="0" fillId="11" borderId="4" xfId="0" applyNumberFormat="1" applyFill="1" applyBorder="1"/>
    <xf numFmtId="1" fontId="0" fillId="11" borderId="0" xfId="0" applyNumberFormat="1" applyFill="1"/>
    <xf numFmtId="170" fontId="0" fillId="0" borderId="0" xfId="0" applyNumberFormat="1"/>
    <xf numFmtId="169" fontId="0" fillId="0" borderId="0" xfId="0" applyNumberFormat="1"/>
    <xf numFmtId="172" fontId="0" fillId="13" borderId="0" xfId="0" applyNumberFormat="1" applyFill="1"/>
    <xf numFmtId="172" fontId="3" fillId="13" borderId="0" xfId="0" applyNumberFormat="1" applyFont="1" applyFill="1"/>
    <xf numFmtId="3" fontId="0" fillId="0" borderId="1" xfId="0" applyNumberFormat="1" applyBorder="1"/>
    <xf numFmtId="1" fontId="3" fillId="8" borderId="1" xfId="0" applyNumberFormat="1" applyFont="1" applyFill="1" applyBorder="1"/>
    <xf numFmtId="10" fontId="21" fillId="8" borderId="0" xfId="1" applyNumberFormat="1" applyFont="1" applyFill="1"/>
    <xf numFmtId="4" fontId="0" fillId="8" borderId="0" xfId="0" applyNumberFormat="1" applyFill="1"/>
    <xf numFmtId="3" fontId="0" fillId="8" borderId="1" xfId="0" applyNumberFormat="1" applyFill="1" applyBorder="1"/>
    <xf numFmtId="1" fontId="0" fillId="8" borderId="0" xfId="0" applyNumberFormat="1" applyFill="1"/>
    <xf numFmtId="1" fontId="0" fillId="8" borderId="2" xfId="0" applyNumberFormat="1" applyFill="1" applyBorder="1"/>
    <xf numFmtId="1" fontId="0" fillId="8" borderId="3" xfId="0" applyNumberFormat="1" applyFill="1" applyBorder="1"/>
    <xf numFmtId="1" fontId="3" fillId="8" borderId="0" xfId="0" applyNumberFormat="1" applyFont="1" applyFill="1"/>
    <xf numFmtId="172" fontId="2" fillId="7" borderId="0" xfId="0" applyNumberFormat="1" applyFont="1" applyFill="1"/>
    <xf numFmtId="170" fontId="2" fillId="7" borderId="0" xfId="0" applyNumberFormat="1" applyFont="1" applyFill="1"/>
    <xf numFmtId="0" fontId="25" fillId="8" borderId="6" xfId="0" applyFont="1" applyFill="1" applyBorder="1"/>
    <xf numFmtId="0" fontId="0" fillId="8" borderId="6" xfId="0" applyFill="1" applyBorder="1"/>
    <xf numFmtId="3" fontId="24" fillId="8" borderId="6" xfId="0" applyNumberFormat="1" applyFont="1" applyFill="1" applyBorder="1"/>
    <xf numFmtId="10" fontId="24" fillId="8" borderId="6" xfId="1" applyNumberFormat="1" applyFont="1" applyFill="1" applyBorder="1"/>
    <xf numFmtId="10" fontId="24" fillId="8" borderId="6" xfId="0" applyNumberFormat="1" applyFont="1" applyFill="1" applyBorder="1"/>
    <xf numFmtId="1" fontId="24" fillId="8" borderId="6" xfId="0" applyNumberFormat="1" applyFont="1" applyFill="1" applyBorder="1"/>
    <xf numFmtId="0" fontId="27" fillId="8" borderId="0" xfId="0" applyFont="1" applyFill="1"/>
    <xf numFmtId="173" fontId="24" fillId="8" borderId="6" xfId="0" applyNumberFormat="1" applyFont="1" applyFill="1" applyBorder="1"/>
    <xf numFmtId="0" fontId="27" fillId="0" borderId="0" xfId="0" applyFont="1"/>
    <xf numFmtId="0" fontId="25" fillId="0" borderId="0" xfId="0" applyFont="1"/>
    <xf numFmtId="3" fontId="24" fillId="0" borderId="0" xfId="0" applyNumberFormat="1" applyFont="1"/>
    <xf numFmtId="0" fontId="2" fillId="7" borderId="0" xfId="0" applyFont="1" applyFill="1" applyAlignment="1">
      <alignment horizontal="center"/>
    </xf>
    <xf numFmtId="0" fontId="23" fillId="4" borderId="3" xfId="0" applyFont="1" applyFill="1" applyBorder="1"/>
    <xf numFmtId="169" fontId="3" fillId="4" borderId="3" xfId="0" applyNumberFormat="1" applyFont="1" applyFill="1" applyBorder="1"/>
    <xf numFmtId="170" fontId="3" fillId="4" borderId="3" xfId="0" applyNumberFormat="1" applyFont="1" applyFill="1" applyBorder="1"/>
    <xf numFmtId="0" fontId="22" fillId="0" borderId="0" xfId="0" applyFont="1"/>
    <xf numFmtId="167" fontId="0" fillId="8" borderId="0" xfId="0" applyNumberForma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0" fontId="14" fillId="5" borderId="3" xfId="1" applyNumberFormat="1" applyFont="1" applyFill="1" applyBorder="1"/>
    <xf numFmtId="0" fontId="26" fillId="0" borderId="0" xfId="0" applyFont="1"/>
    <xf numFmtId="0" fontId="29" fillId="7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 wrapText="1"/>
    </xf>
    <xf numFmtId="164" fontId="4" fillId="0" borderId="0" xfId="3" applyNumberFormat="1" applyBorder="1" applyAlignment="1" applyProtection="1">
      <alignment horizontal="center"/>
    </xf>
    <xf numFmtId="164" fontId="8" fillId="2" borderId="0" xfId="4" applyNumberFormat="1" applyFont="1" applyBorder="1" applyAlignment="1">
      <alignment horizontal="center"/>
    </xf>
  </cellXfs>
  <cellStyles count="6">
    <cellStyle name="Accent6 2" xfId="4" xr:uid="{B69F890B-CF8A-4BEE-A8C6-F1AB5D5A2D9E}"/>
    <cellStyle name="Comma 2" xfId="2" xr:uid="{2446090A-9A07-44C6-AF5B-FED4038182CA}"/>
    <cellStyle name="Hyperlink 2" xfId="3" xr:uid="{0353B45D-EEB5-4B85-A8FC-218290EDA000}"/>
    <cellStyle name="Normal" xfId="0" builtinId="0"/>
    <cellStyle name="Normal 2" xfId="5" xr:uid="{4CBB0523-3F35-43B3-BB0D-F67815634D4C}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F3F9FF"/>
      <color rgb="FF0000FF"/>
      <color rgb="FFE7F3FF"/>
      <color rgb="FFD6E9FE"/>
      <color rgb="FF33CCFF"/>
      <color rgb="FFFFFF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'Income Statement '!$C$4:$I$4</c:f>
              <c:numCache>
                <c:formatCode>#"A"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 formatCode="#&quot;F&quot;">
                  <c:v>2026</c:v>
                </c:pt>
                <c:pt idx="5" formatCode="#&quot;F&quot;">
                  <c:v>2027</c:v>
                </c:pt>
                <c:pt idx="6" formatCode="#&quot;F&quot;">
                  <c:v>2028</c:v>
                </c:pt>
              </c:numCache>
            </c:numRef>
          </c:cat>
          <c:val>
            <c:numRef>
              <c:f>'Income Statement '!$C$6:$I$6</c:f>
              <c:numCache>
                <c:formatCode>#,##0</c:formatCode>
                <c:ptCount val="7"/>
                <c:pt idx="0">
                  <c:v>90170.57</c:v>
                </c:pt>
                <c:pt idx="1">
                  <c:v>121268.55</c:v>
                </c:pt>
                <c:pt idx="2">
                  <c:v>139078.26999999999</c:v>
                </c:pt>
                <c:pt idx="3">
                  <c:v>159210.82</c:v>
                </c:pt>
                <c:pt idx="4">
                  <c:v>172743.73970000001</c:v>
                </c:pt>
                <c:pt idx="5">
                  <c:v>187426.9575745</c:v>
                </c:pt>
                <c:pt idx="6">
                  <c:v>203358.24896833251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8-473B-9999-EBDE3D9B7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18976"/>
        <c:axId val="1842122336"/>
      </c:lineChart>
      <c:catAx>
        <c:axId val="1842118976"/>
        <c:scaling>
          <c:orientation val="minMax"/>
        </c:scaling>
        <c:delete val="0"/>
        <c:axPos val="b"/>
        <c:numFmt formatCode="#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22336"/>
        <c:crosses val="autoZero"/>
        <c:auto val="1"/>
        <c:lblAlgn val="ctr"/>
        <c:lblOffset val="100"/>
        <c:noMultiLvlLbl val="0"/>
      </c:catAx>
      <c:valAx>
        <c:axId val="18421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1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alpha val="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EBITDA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'Income Statement '!$C$4:$I$4</c:f>
              <c:numCache>
                <c:formatCode>#"A"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 formatCode="#&quot;F&quot;">
                  <c:v>2026</c:v>
                </c:pt>
                <c:pt idx="5" formatCode="#&quot;F&quot;">
                  <c:v>2027</c:v>
                </c:pt>
                <c:pt idx="6" formatCode="#&quot;F&quot;">
                  <c:v>2028</c:v>
                </c:pt>
              </c:numCache>
            </c:numRef>
          </c:cat>
          <c:val>
            <c:numRef>
              <c:f>'Income Statement '!$C$16:$I$16</c:f>
              <c:numCache>
                <c:formatCode>#,##0</c:formatCode>
                <c:ptCount val="7"/>
                <c:pt idx="0">
                  <c:v>14682.85000000002</c:v>
                </c:pt>
                <c:pt idx="1">
                  <c:v>20285.290000000015</c:v>
                </c:pt>
                <c:pt idx="2">
                  <c:v>24891.929999999993</c:v>
                </c:pt>
                <c:pt idx="3">
                  <c:v>30518.190000000002</c:v>
                </c:pt>
                <c:pt idx="4">
                  <c:v>36276.185336999988</c:v>
                </c:pt>
                <c:pt idx="5">
                  <c:v>39359.661090644993</c:v>
                </c:pt>
                <c:pt idx="6">
                  <c:v>42705.232283349833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8-4122-915B-6D13468DA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208896"/>
        <c:axId val="1872210336"/>
      </c:lineChart>
      <c:catAx>
        <c:axId val="1872208896"/>
        <c:scaling>
          <c:orientation val="minMax"/>
        </c:scaling>
        <c:delete val="0"/>
        <c:axPos val="b"/>
        <c:numFmt formatCode="#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10336"/>
        <c:crosses val="autoZero"/>
        <c:auto val="1"/>
        <c:lblAlgn val="ctr"/>
        <c:lblOffset val="100"/>
        <c:noMultiLvlLbl val="0"/>
      </c:catAx>
      <c:valAx>
        <c:axId val="187221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0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alpha val="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Net</a:t>
            </a:r>
            <a:r>
              <a:rPr lang="en-US" baseline="0">
                <a:solidFill>
                  <a:srgbClr val="002060"/>
                </a:solidFill>
              </a:rPr>
              <a:t>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'Income Statement '!$C$4:$I$4</c:f>
              <c:numCache>
                <c:formatCode>#"A"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 formatCode="#&quot;F&quot;">
                  <c:v>2026</c:v>
                </c:pt>
                <c:pt idx="5" formatCode="#&quot;F&quot;">
                  <c:v>2027</c:v>
                </c:pt>
                <c:pt idx="6" formatCode="#&quot;F&quot;">
                  <c:v>2028</c:v>
                </c:pt>
              </c:numCache>
            </c:numRef>
          </c:cat>
          <c:val>
            <c:numRef>
              <c:f>'Income Statement '!$C$34:$I$34</c:f>
              <c:numCache>
                <c:formatCode>#,##0</c:formatCode>
                <c:ptCount val="7"/>
                <c:pt idx="0">
                  <c:v>7253.0100000000184</c:v>
                </c:pt>
                <c:pt idx="1">
                  <c:v>11374.480000000014</c:v>
                </c:pt>
                <c:pt idx="2">
                  <c:v>12269.819999999994</c:v>
                </c:pt>
                <c:pt idx="3">
                  <c:v>14073.170000000002</c:v>
                </c:pt>
                <c:pt idx="4">
                  <c:v>17653.69194629999</c:v>
                </c:pt>
                <c:pt idx="5">
                  <c:v>19037.567618860492</c:v>
                </c:pt>
                <c:pt idx="6">
                  <c:v>20546.726615087391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C-4C98-B964-9CCD4CD5A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340192"/>
        <c:axId val="1731340672"/>
      </c:lineChart>
      <c:catAx>
        <c:axId val="1731340192"/>
        <c:scaling>
          <c:orientation val="minMax"/>
        </c:scaling>
        <c:delete val="0"/>
        <c:axPos val="b"/>
        <c:numFmt formatCode="#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40672"/>
        <c:crosses val="autoZero"/>
        <c:auto val="1"/>
        <c:lblAlgn val="ctr"/>
        <c:lblOffset val="100"/>
        <c:noMultiLvlLbl val="0"/>
      </c:catAx>
      <c:valAx>
        <c:axId val="17313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4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alpha val="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Total</a:t>
            </a:r>
            <a:r>
              <a:rPr lang="en-US" baseline="0">
                <a:solidFill>
                  <a:srgbClr val="002060"/>
                </a:solidFill>
              </a:rPr>
              <a:t> Asset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'Balance Sheet'!$C$4:$I$4</c:f>
              <c:numCache>
                <c:formatCode>#"A"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 formatCode="#&quot;F&quot;">
                  <c:v>2026</c:v>
                </c:pt>
                <c:pt idx="5" formatCode="#&quot;F&quot;">
                  <c:v>2027</c:v>
                </c:pt>
                <c:pt idx="6" formatCode="#&quot;F&quot;">
                  <c:v>2028</c:v>
                </c:pt>
              </c:numCache>
            </c:numRef>
          </c:cat>
          <c:val>
            <c:numRef>
              <c:f>'Balance Sheet'!$C$26:$I$26</c:f>
              <c:numCache>
                <c:formatCode>#,##0</c:formatCode>
                <c:ptCount val="7"/>
                <c:pt idx="0">
                  <c:v>172388</c:v>
                </c:pt>
                <c:pt idx="1">
                  <c:v>204283</c:v>
                </c:pt>
                <c:pt idx="2">
                  <c:v>234720</c:v>
                </c:pt>
                <c:pt idx="3">
                  <c:v>276015</c:v>
                </c:pt>
                <c:pt idx="4">
                  <c:v>289094.11898066499</c:v>
                </c:pt>
                <c:pt idx="5">
                  <c:v>307067.47413676151</c:v>
                </c:pt>
                <c:pt idx="6">
                  <c:v>326461.88908002526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3-41EE-8634-4E98E2550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980064"/>
        <c:axId val="1872983424"/>
      </c:lineChart>
      <c:catAx>
        <c:axId val="1872980064"/>
        <c:scaling>
          <c:orientation val="minMax"/>
        </c:scaling>
        <c:delete val="0"/>
        <c:axPos val="b"/>
        <c:numFmt formatCode="#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83424"/>
        <c:crosses val="autoZero"/>
        <c:auto val="1"/>
        <c:lblAlgn val="ctr"/>
        <c:lblOffset val="100"/>
        <c:noMultiLvlLbl val="0"/>
      </c:catAx>
      <c:valAx>
        <c:axId val="18729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8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alpha val="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2</xdr:row>
      <xdr:rowOff>180975</xdr:rowOff>
    </xdr:from>
    <xdr:to>
      <xdr:col>9</xdr:col>
      <xdr:colOff>790575</xdr:colOff>
      <xdr:row>13</xdr:row>
      <xdr:rowOff>23813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AD6EC0-85E3-1453-F5BE-0E46997C4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921544</xdr:colOff>
      <xdr:row>3</xdr:row>
      <xdr:rowOff>3052</xdr:rowOff>
    </xdr:from>
    <xdr:to>
      <xdr:col>13</xdr:col>
      <xdr:colOff>499369</xdr:colOff>
      <xdr:row>13</xdr:row>
      <xdr:rowOff>21431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68CAD5-9C93-CE51-8E21-D76CBC176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83226</xdr:colOff>
      <xdr:row>13</xdr:row>
      <xdr:rowOff>164306</xdr:rowOff>
    </xdr:from>
    <xdr:to>
      <xdr:col>9</xdr:col>
      <xdr:colOff>797718</xdr:colOff>
      <xdr:row>23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0D251B-E2C1-1028-78E5-29696241F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923925</xdr:colOff>
      <xdr:row>13</xdr:row>
      <xdr:rowOff>164306</xdr:rowOff>
    </xdr:from>
    <xdr:to>
      <xdr:col>14</xdr:col>
      <xdr:colOff>3791</xdr:colOff>
      <xdr:row>23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435D37-D3ED-56A7-1C54-AB5448465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90F4-2074-4DCD-8A8A-897151A777B9}">
  <sheetPr>
    <tabColor theme="7" tint="-0.499984740745262"/>
  </sheetPr>
  <dimension ref="A2:L25"/>
  <sheetViews>
    <sheetView showGridLines="0" workbookViewId="0">
      <selection activeCell="R18" sqref="R18"/>
    </sheetView>
  </sheetViews>
  <sheetFormatPr defaultRowHeight="15" x14ac:dyDescent="0.25"/>
  <cols>
    <col min="1" max="1" width="1.85546875" customWidth="1"/>
    <col min="2" max="2" width="4.7109375" customWidth="1"/>
    <col min="3" max="3" width="25.140625" customWidth="1"/>
    <col min="11" max="11" width="9.28515625" customWidth="1"/>
  </cols>
  <sheetData>
    <row r="2" spans="1:12" ht="15" customHeight="1" x14ac:dyDescent="0.25">
      <c r="B2" s="161" t="s">
        <v>209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</row>
    <row r="3" spans="1:12" ht="15.75" thickBot="1" x14ac:dyDescent="0.3"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4"/>
    </row>
    <row r="4" spans="1:12" x14ac:dyDescent="0.25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x14ac:dyDescent="0.25">
      <c r="A5" s="42"/>
      <c r="B5" s="41">
        <v>1</v>
      </c>
      <c r="C5" s="43" t="s">
        <v>202</v>
      </c>
      <c r="D5" s="41"/>
      <c r="E5" s="41"/>
      <c r="F5" s="41"/>
      <c r="G5" s="41"/>
      <c r="H5" s="41"/>
      <c r="I5" s="41"/>
      <c r="J5" s="41"/>
      <c r="K5" s="41"/>
      <c r="L5" s="41"/>
    </row>
    <row r="6" spans="1:12" x14ac:dyDescent="0.25">
      <c r="A6" s="42"/>
      <c r="B6" s="41">
        <v>2</v>
      </c>
      <c r="C6" s="43" t="s">
        <v>203</v>
      </c>
      <c r="D6" s="41"/>
      <c r="E6" s="41"/>
      <c r="F6" s="41"/>
      <c r="G6" s="41"/>
      <c r="H6" s="41"/>
      <c r="I6" s="41"/>
      <c r="J6" s="41"/>
      <c r="K6" s="41"/>
      <c r="L6" s="41"/>
    </row>
    <row r="7" spans="1:12" x14ac:dyDescent="0.25">
      <c r="A7" s="42"/>
      <c r="B7" s="41">
        <v>3</v>
      </c>
      <c r="C7" s="43" t="s">
        <v>204</v>
      </c>
      <c r="D7" s="41"/>
      <c r="E7" s="41"/>
      <c r="F7" s="41"/>
      <c r="G7" s="41"/>
      <c r="H7" s="41"/>
      <c r="I7" s="41"/>
      <c r="J7" s="41"/>
      <c r="K7" s="41"/>
      <c r="L7" s="41"/>
    </row>
    <row r="8" spans="1:12" x14ac:dyDescent="0.25">
      <c r="A8" s="42"/>
      <c r="B8" s="41">
        <v>4</v>
      </c>
      <c r="C8" s="43" t="s">
        <v>35</v>
      </c>
      <c r="D8" s="41"/>
      <c r="E8" s="41"/>
      <c r="F8" s="41"/>
      <c r="G8" s="41"/>
      <c r="H8" s="41"/>
      <c r="I8" s="41"/>
      <c r="J8" s="41"/>
      <c r="K8" s="41"/>
      <c r="L8" s="41"/>
    </row>
    <row r="9" spans="1:12" x14ac:dyDescent="0.25">
      <c r="A9" s="42"/>
      <c r="B9" s="41">
        <v>5</v>
      </c>
      <c r="C9" s="43" t="s">
        <v>205</v>
      </c>
      <c r="D9" s="41"/>
      <c r="E9" s="41"/>
      <c r="F9" s="41"/>
      <c r="G9" s="41"/>
      <c r="H9" s="41"/>
      <c r="I9" s="41"/>
      <c r="J9" s="41"/>
      <c r="K9" s="41"/>
      <c r="L9" s="41"/>
    </row>
    <row r="10" spans="1:12" x14ac:dyDescent="0.25">
      <c r="A10" s="42"/>
      <c r="B10" s="41">
        <v>6</v>
      </c>
      <c r="C10" s="43" t="s">
        <v>207</v>
      </c>
      <c r="D10" s="41"/>
      <c r="E10" s="41"/>
      <c r="F10" s="41"/>
      <c r="G10" s="41"/>
      <c r="H10" s="41"/>
      <c r="I10" s="41"/>
      <c r="J10" s="41"/>
      <c r="K10" s="41"/>
      <c r="L10" s="41"/>
    </row>
    <row r="11" spans="1:12" x14ac:dyDescent="0.25">
      <c r="A11" s="42"/>
      <c r="B11" s="41">
        <v>7</v>
      </c>
      <c r="C11" s="43" t="s">
        <v>208</v>
      </c>
      <c r="D11" s="41"/>
      <c r="E11" s="41"/>
      <c r="F11" s="41"/>
      <c r="G11" s="41"/>
      <c r="H11" s="41"/>
      <c r="I11" s="41"/>
      <c r="J11" s="41"/>
      <c r="K11" s="41"/>
      <c r="L11" s="41"/>
    </row>
    <row r="12" spans="1:12" x14ac:dyDescent="0.25">
      <c r="B12" s="43"/>
      <c r="C12" s="43"/>
      <c r="D12" s="41"/>
      <c r="E12" s="41"/>
      <c r="F12" s="41"/>
      <c r="G12" s="41"/>
      <c r="H12" s="41"/>
      <c r="I12" s="41"/>
      <c r="J12" s="41"/>
      <c r="K12" s="41"/>
      <c r="L12" s="41"/>
    </row>
    <row r="13" spans="1:12" ht="15.75" x14ac:dyDescent="0.25">
      <c r="B13" s="44"/>
      <c r="C13" s="44"/>
      <c r="D13" s="44"/>
      <c r="E13" s="44"/>
      <c r="F13" s="44"/>
      <c r="G13" s="44"/>
      <c r="H13" s="44"/>
      <c r="I13" s="45"/>
      <c r="J13" s="45"/>
      <c r="K13" s="165" t="s">
        <v>0</v>
      </c>
      <c r="L13" s="165"/>
    </row>
    <row r="14" spans="1:12" x14ac:dyDescent="0.25"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spans="1:12" x14ac:dyDescent="0.25"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spans="1:12" x14ac:dyDescent="0.25"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spans="2:12" x14ac:dyDescent="0.25"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2:12" x14ac:dyDescent="0.25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2:12" x14ac:dyDescent="0.25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  <row r="20" spans="2:12" x14ac:dyDescent="0.25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spans="2:12" x14ac:dyDescent="0.25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2:12" x14ac:dyDescent="0.25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spans="2:12" x14ac:dyDescent="0.25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spans="2:12" x14ac:dyDescent="0.25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2:12" x14ac:dyDescent="0.25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</row>
  </sheetData>
  <mergeCells count="2">
    <mergeCell ref="B2:L3"/>
    <mergeCell ref="K13:L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7CFC-39AD-438E-AA40-AB1FEDAEE44C}">
  <sheetPr>
    <tabColor theme="7" tint="-0.499984740745262"/>
  </sheetPr>
  <dimension ref="A1:N30"/>
  <sheetViews>
    <sheetView showGridLines="0" tabSelected="1" zoomScale="97" zoomScaleNormal="100" workbookViewId="0">
      <selection activeCell="R11" sqref="R11"/>
    </sheetView>
  </sheetViews>
  <sheetFormatPr defaultRowHeight="15" x14ac:dyDescent="0.25"/>
  <cols>
    <col min="1" max="1" width="1.85546875" customWidth="1"/>
    <col min="2" max="2" width="43.85546875" customWidth="1"/>
    <col min="3" max="3" width="9" customWidth="1"/>
    <col min="4" max="4" width="8.7109375" customWidth="1"/>
    <col min="5" max="5" width="1" customWidth="1"/>
    <col min="6" max="6" width="21" bestFit="1" customWidth="1"/>
    <col min="8" max="8" width="7.7109375" bestFit="1" customWidth="1"/>
    <col min="9" max="9" width="1.7109375" customWidth="1"/>
    <col min="10" max="10" width="22.28515625" customWidth="1"/>
    <col min="11" max="11" width="9.7109375" customWidth="1"/>
    <col min="12" max="12" width="13.5703125" customWidth="1"/>
    <col min="14" max="14" width="7.5703125" customWidth="1"/>
  </cols>
  <sheetData>
    <row r="1" spans="2:14" x14ac:dyDescent="0.25">
      <c r="B1" s="160" t="s">
        <v>222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2:14" ht="15.75" customHeight="1" x14ac:dyDescent="0.25"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3" spans="2:14" ht="8.25" customHeight="1" x14ac:dyDescent="0.25"/>
    <row r="4" spans="2:14" x14ac:dyDescent="0.25">
      <c r="B4" s="20" t="s">
        <v>191</v>
      </c>
      <c r="C4" s="20"/>
      <c r="D4" s="137">
        <f>'Income Statement '!I4</f>
        <v>2028</v>
      </c>
    </row>
    <row r="5" spans="2:14" ht="4.5" customHeight="1" x14ac:dyDescent="0.25"/>
    <row r="6" spans="2:14" ht="18.75" x14ac:dyDescent="0.3">
      <c r="B6" s="138" t="s">
        <v>3</v>
      </c>
      <c r="C6" s="139"/>
      <c r="D6" s="140">
        <f>'Income Statement '!I6</f>
        <v>203358.24896833251</v>
      </c>
    </row>
    <row r="7" spans="2:14" ht="18.75" x14ac:dyDescent="0.3">
      <c r="B7" s="138" t="s">
        <v>193</v>
      </c>
      <c r="C7" s="139"/>
      <c r="D7" s="141">
        <f>('Income Statement '!I6/'Income Statement '!F6)^(1/3)-1</f>
        <v>8.4999999999999964E-2</v>
      </c>
    </row>
    <row r="8" spans="2:14" ht="18.75" x14ac:dyDescent="0.3">
      <c r="B8" s="138" t="s">
        <v>11</v>
      </c>
      <c r="C8" s="139"/>
      <c r="D8" s="140">
        <f>'Income Statement '!I16</f>
        <v>42705.232283349833</v>
      </c>
    </row>
    <row r="9" spans="2:14" ht="18.75" x14ac:dyDescent="0.3">
      <c r="B9" s="138" t="s">
        <v>25</v>
      </c>
      <c r="C9" s="139"/>
      <c r="D9" s="140">
        <f>'Income Statement '!I34</f>
        <v>20546.726615087391</v>
      </c>
    </row>
    <row r="10" spans="2:14" ht="18.75" x14ac:dyDescent="0.3">
      <c r="B10" s="138" t="s">
        <v>192</v>
      </c>
      <c r="C10" s="139"/>
      <c r="D10" s="140">
        <f>'Balance Sheet'!I23</f>
        <v>25337.712379334233</v>
      </c>
    </row>
    <row r="11" spans="2:14" ht="15" customHeight="1" x14ac:dyDescent="0.3">
      <c r="B11" s="147"/>
      <c r="D11" s="148"/>
      <c r="F11" s="147"/>
      <c r="H11" s="148"/>
      <c r="J11" s="147"/>
      <c r="L11" s="148"/>
    </row>
    <row r="12" spans="2:14" ht="18.75" x14ac:dyDescent="0.3">
      <c r="B12" s="20" t="s">
        <v>194</v>
      </c>
      <c r="C12" s="20"/>
      <c r="D12" s="137">
        <f>D4</f>
        <v>2028</v>
      </c>
      <c r="F12" s="147"/>
      <c r="H12" s="148"/>
      <c r="J12" s="147"/>
      <c r="L12" s="148"/>
    </row>
    <row r="13" spans="2:14" ht="4.5" customHeight="1" x14ac:dyDescent="0.3">
      <c r="F13" s="147"/>
      <c r="H13" s="148"/>
      <c r="J13" s="147"/>
      <c r="L13" s="148"/>
    </row>
    <row r="14" spans="2:14" ht="18.75" x14ac:dyDescent="0.3">
      <c r="B14" s="138" t="s">
        <v>195</v>
      </c>
      <c r="C14" s="139"/>
      <c r="D14" s="142">
        <f>'Income Statement '!I12</f>
        <v>0.315</v>
      </c>
      <c r="F14" s="147"/>
      <c r="H14" s="148"/>
      <c r="J14" s="147"/>
      <c r="L14" s="148"/>
    </row>
    <row r="15" spans="2:14" ht="18.75" x14ac:dyDescent="0.3">
      <c r="B15" s="138" t="s">
        <v>80</v>
      </c>
      <c r="C15" s="139"/>
      <c r="D15" s="142">
        <f>'Income Statement '!I22</f>
        <v>0.17200000000000001</v>
      </c>
      <c r="F15" s="147"/>
      <c r="H15" s="148"/>
      <c r="J15" s="147"/>
      <c r="L15" s="148"/>
    </row>
    <row r="16" spans="2:14" ht="18.75" x14ac:dyDescent="0.3">
      <c r="B16" s="138" t="s">
        <v>79</v>
      </c>
      <c r="C16" s="139"/>
      <c r="D16" s="142">
        <f>'Income Statement '!I17</f>
        <v>0.21000000000000002</v>
      </c>
      <c r="F16" s="147"/>
      <c r="H16" s="148"/>
      <c r="J16" s="147"/>
      <c r="L16" s="148"/>
    </row>
    <row r="17" spans="1:14" ht="18.75" x14ac:dyDescent="0.3">
      <c r="B17" s="138" t="s">
        <v>81</v>
      </c>
      <c r="C17" s="139"/>
      <c r="D17" s="142">
        <f>'Income Statement '!I35</f>
        <v>0.10103709448386813</v>
      </c>
      <c r="F17" s="147"/>
      <c r="H17" s="148"/>
      <c r="J17" s="147"/>
      <c r="L17" s="148"/>
    </row>
    <row r="18" spans="1:14" ht="15" customHeight="1" x14ac:dyDescent="0.3">
      <c r="B18" s="147"/>
      <c r="D18" s="148"/>
      <c r="F18" s="147"/>
      <c r="H18" s="148"/>
      <c r="J18" s="147"/>
      <c r="L18" s="148"/>
    </row>
    <row r="19" spans="1:14" ht="18.75" x14ac:dyDescent="0.3">
      <c r="B19" s="20" t="s">
        <v>196</v>
      </c>
      <c r="C19" s="20"/>
      <c r="D19" s="137">
        <f>D12</f>
        <v>2028</v>
      </c>
      <c r="F19" s="147"/>
      <c r="H19" s="148"/>
      <c r="J19" s="147"/>
      <c r="L19" s="148"/>
    </row>
    <row r="20" spans="1:14" ht="4.5" customHeight="1" x14ac:dyDescent="0.3">
      <c r="F20" s="147"/>
      <c r="H20" s="148"/>
      <c r="J20" s="147"/>
      <c r="L20" s="148"/>
    </row>
    <row r="21" spans="1:14" ht="18.75" x14ac:dyDescent="0.3">
      <c r="B21" s="138" t="s">
        <v>197</v>
      </c>
      <c r="C21" s="139"/>
      <c r="D21" s="145">
        <f>SUM('Balance Sheet'!I10:I11)/'Balance Sheet'!I8</f>
        <v>1.0445698270105996</v>
      </c>
      <c r="F21" s="147"/>
      <c r="H21" s="148"/>
      <c r="J21" s="147"/>
      <c r="L21" s="148"/>
    </row>
    <row r="22" spans="1:14" ht="18.75" x14ac:dyDescent="0.3">
      <c r="B22" s="138" t="s">
        <v>198</v>
      </c>
      <c r="C22" s="139"/>
      <c r="D22" s="143">
        <f>'Balance Sheet'!I21+'Balance Sheet'!I22-'Balance Sheet'!I12</f>
        <v>-9751.0280380315453</v>
      </c>
      <c r="F22" s="147"/>
      <c r="H22" s="148"/>
      <c r="J22" s="147"/>
      <c r="L22" s="148"/>
    </row>
    <row r="23" spans="1:14" ht="18.75" x14ac:dyDescent="0.3">
      <c r="B23" s="138" t="s">
        <v>199</v>
      </c>
      <c r="C23" s="139"/>
      <c r="D23" s="142">
        <f>D22/D6</f>
        <v>-4.7950000000000007E-2</v>
      </c>
      <c r="F23" s="147"/>
      <c r="H23" s="148"/>
      <c r="J23" s="147"/>
      <c r="L23" s="148"/>
    </row>
    <row r="25" spans="1:14" x14ac:dyDescent="0.25">
      <c r="B25" s="159" t="s">
        <v>220</v>
      </c>
    </row>
    <row r="26" spans="1:14" x14ac:dyDescent="0.25">
      <c r="A26" s="144" t="s">
        <v>200</v>
      </c>
      <c r="B26" s="144" t="s">
        <v>221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 x14ac:dyDescent="0.25">
      <c r="A27" s="144" t="s">
        <v>200</v>
      </c>
      <c r="B27" s="144" t="s">
        <v>218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1:14" x14ac:dyDescent="0.25">
      <c r="A28" s="144" t="s">
        <v>200</v>
      </c>
      <c r="B28" s="144" t="s">
        <v>218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 x14ac:dyDescent="0.25">
      <c r="A29" s="144" t="s">
        <v>200</v>
      </c>
      <c r="B29" s="144" t="s">
        <v>219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x14ac:dyDescent="0.25">
      <c r="A30" s="144" t="s">
        <v>200</v>
      </c>
      <c r="B30" s="144" t="s">
        <v>201</v>
      </c>
      <c r="C30" s="144"/>
      <c r="D30" s="144"/>
      <c r="E30" s="144"/>
      <c r="F30" s="144"/>
      <c r="G30" s="144"/>
      <c r="H30" s="144"/>
      <c r="I30" s="144"/>
      <c r="J30" s="144"/>
      <c r="K30" s="144"/>
      <c r="L30" s="28"/>
      <c r="M30" s="28"/>
      <c r="N30" s="28"/>
    </row>
  </sheetData>
  <mergeCells count="1">
    <mergeCell ref="B1:N2"/>
  </mergeCells>
  <pageMargins left="0.25" right="0.25" top="0.75" bottom="0.75" header="0.3" footer="0.3"/>
  <pageSetup paperSize="1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AA99-E7E4-4F68-863C-8BB22F504878}">
  <sheetPr>
    <tabColor theme="9" tint="0.59999389629810485"/>
  </sheetPr>
  <dimension ref="A1:E30"/>
  <sheetViews>
    <sheetView showGridLines="0" zoomScaleNormal="100" workbookViewId="0">
      <selection activeCell="G12" sqref="G12"/>
    </sheetView>
  </sheetViews>
  <sheetFormatPr defaultRowHeight="15" x14ac:dyDescent="0.25"/>
  <cols>
    <col min="1" max="1" width="1.85546875" customWidth="1"/>
    <col min="2" max="2" width="39.7109375" customWidth="1"/>
  </cols>
  <sheetData>
    <row r="1" spans="1:5" x14ac:dyDescent="0.25">
      <c r="B1" s="160" t="s">
        <v>203</v>
      </c>
      <c r="C1" s="160"/>
      <c r="D1" s="160"/>
      <c r="E1" s="160"/>
    </row>
    <row r="2" spans="1:5" x14ac:dyDescent="0.25">
      <c r="B2" s="160"/>
      <c r="C2" s="160"/>
      <c r="D2" s="160"/>
      <c r="E2" s="160"/>
    </row>
    <row r="3" spans="1:5" ht="4.5" customHeight="1" x14ac:dyDescent="0.25">
      <c r="B3" s="157"/>
      <c r="C3" s="157"/>
      <c r="D3" s="157"/>
      <c r="E3" s="157"/>
    </row>
    <row r="4" spans="1:5" x14ac:dyDescent="0.25">
      <c r="A4" t="s">
        <v>1</v>
      </c>
      <c r="B4" s="66" t="s">
        <v>217</v>
      </c>
      <c r="C4" s="67">
        <v>2026</v>
      </c>
      <c r="D4" s="67">
        <v>2027</v>
      </c>
      <c r="E4" s="67">
        <v>2028</v>
      </c>
    </row>
    <row r="5" spans="1:5" ht="4.5" customHeight="1" x14ac:dyDescent="0.25">
      <c r="B5" s="153"/>
      <c r="C5" s="65"/>
      <c r="D5" s="65"/>
      <c r="E5" s="65"/>
    </row>
    <row r="6" spans="1:5" x14ac:dyDescent="0.25">
      <c r="B6" s="9" t="s">
        <v>3</v>
      </c>
      <c r="C6" s="65"/>
      <c r="D6" s="65"/>
      <c r="E6" s="65"/>
    </row>
    <row r="7" spans="1:5" x14ac:dyDescent="0.25">
      <c r="B7" s="82" t="s">
        <v>206</v>
      </c>
      <c r="C7" s="81">
        <f>'Sales Trend Analysis'!E16</f>
        <v>-4.5338983605056171E-2</v>
      </c>
      <c r="D7" s="81">
        <f>'Sales Trend Analysis'!E17</f>
        <v>6.4958377135490686E-2</v>
      </c>
      <c r="E7" s="81">
        <f>'Sales Trend Analysis'!E18</f>
        <v>6.0996165230621235E-2</v>
      </c>
    </row>
    <row r="8" spans="1:5" x14ac:dyDescent="0.25">
      <c r="B8" s="82" t="s">
        <v>166</v>
      </c>
      <c r="C8" s="81">
        <f>'Sales Trend Analysis'!$E$24</f>
        <v>0.10258095641394727</v>
      </c>
      <c r="D8" s="81">
        <f>'Sales Trend Analysis'!$E$24</f>
        <v>0.10258095641394727</v>
      </c>
      <c r="E8" s="81">
        <f>'Sales Trend Analysis'!$E$24</f>
        <v>0.10258095641394727</v>
      </c>
    </row>
    <row r="9" spans="1:5" x14ac:dyDescent="0.25">
      <c r="B9" s="18" t="s">
        <v>211</v>
      </c>
      <c r="C9" s="80">
        <v>8.5000000000000006E-2</v>
      </c>
      <c r="D9" s="80">
        <v>8.5000000000000006E-2</v>
      </c>
      <c r="E9" s="80">
        <v>8.5000000000000006E-2</v>
      </c>
    </row>
    <row r="10" spans="1:5" x14ac:dyDescent="0.25">
      <c r="C10" s="65"/>
      <c r="D10" s="65"/>
      <c r="E10" s="65"/>
    </row>
    <row r="11" spans="1:5" x14ac:dyDescent="0.25">
      <c r="B11" t="s">
        <v>6</v>
      </c>
      <c r="C11" s="79">
        <v>0.68500000000000005</v>
      </c>
      <c r="D11" s="79">
        <v>0.68500000000000005</v>
      </c>
      <c r="E11" s="79">
        <v>0.68500000000000005</v>
      </c>
    </row>
    <row r="12" spans="1:5" x14ac:dyDescent="0.25">
      <c r="B12" t="s">
        <v>167</v>
      </c>
      <c r="C12" s="79">
        <v>0.105</v>
      </c>
      <c r="D12" s="79">
        <v>0.105</v>
      </c>
      <c r="E12" s="79">
        <v>0.105</v>
      </c>
    </row>
    <row r="13" spans="1:5" x14ac:dyDescent="0.25">
      <c r="B13" t="s">
        <v>14</v>
      </c>
      <c r="C13" s="79">
        <v>3.7999999999999999E-2</v>
      </c>
      <c r="D13" s="79">
        <v>3.7999999999999999E-2</v>
      </c>
      <c r="E13" s="79">
        <v>3.7999999999999999E-2</v>
      </c>
    </row>
    <row r="14" spans="1:5" x14ac:dyDescent="0.25">
      <c r="B14" t="s">
        <v>168</v>
      </c>
      <c r="C14" s="79">
        <v>7.0000000000000007E-2</v>
      </c>
      <c r="D14" s="79">
        <v>7.0000000000000007E-2</v>
      </c>
      <c r="E14" s="79">
        <v>7.0000000000000007E-2</v>
      </c>
    </row>
    <row r="15" spans="1:5" x14ac:dyDescent="0.25">
      <c r="B15" s="17" t="s">
        <v>84</v>
      </c>
      <c r="C15" s="158">
        <v>0.25</v>
      </c>
      <c r="D15" s="158">
        <v>0.25</v>
      </c>
      <c r="E15" s="158">
        <v>0.25</v>
      </c>
    </row>
    <row r="17" spans="1:5" x14ac:dyDescent="0.25">
      <c r="A17" t="s">
        <v>1</v>
      </c>
      <c r="B17" s="66" t="s">
        <v>216</v>
      </c>
      <c r="C17" s="67">
        <v>2026</v>
      </c>
      <c r="D17" s="67">
        <v>2027</v>
      </c>
      <c r="E17" s="67">
        <v>2028</v>
      </c>
    </row>
    <row r="18" spans="1:5" ht="4.5" customHeight="1" x14ac:dyDescent="0.25"/>
    <row r="19" spans="1:5" x14ac:dyDescent="0.25">
      <c r="B19" t="s">
        <v>179</v>
      </c>
      <c r="C19" s="79">
        <v>0.2</v>
      </c>
      <c r="D19" s="79">
        <v>0.2</v>
      </c>
      <c r="E19" s="79">
        <v>0.2</v>
      </c>
    </row>
    <row r="20" spans="1:5" x14ac:dyDescent="0.25">
      <c r="B20" t="s">
        <v>171</v>
      </c>
      <c r="C20" s="79">
        <v>0.25</v>
      </c>
      <c r="D20" s="79">
        <v>0.25</v>
      </c>
      <c r="E20" s="79">
        <v>0.25</v>
      </c>
    </row>
    <row r="21" spans="1:5" x14ac:dyDescent="0.25">
      <c r="B21" t="s">
        <v>173</v>
      </c>
      <c r="C21" s="79">
        <v>0.06</v>
      </c>
      <c r="D21" s="79">
        <v>0.06</v>
      </c>
      <c r="E21" s="79">
        <v>0.06</v>
      </c>
    </row>
    <row r="22" spans="1:5" x14ac:dyDescent="0.25">
      <c r="B22" t="s">
        <v>174</v>
      </c>
      <c r="C22" s="79">
        <v>0.12</v>
      </c>
      <c r="D22" s="79">
        <v>0.12</v>
      </c>
      <c r="E22" s="79">
        <v>0.12</v>
      </c>
    </row>
    <row r="23" spans="1:5" x14ac:dyDescent="0.25">
      <c r="B23" t="s">
        <v>214</v>
      </c>
      <c r="C23" s="79"/>
      <c r="D23" s="79"/>
      <c r="E23" s="79"/>
    </row>
    <row r="24" spans="1:5" x14ac:dyDescent="0.25">
      <c r="B24" s="9" t="s">
        <v>176</v>
      </c>
      <c r="C24" s="79"/>
      <c r="D24" s="79"/>
      <c r="E24" s="79"/>
    </row>
    <row r="25" spans="1:5" x14ac:dyDescent="0.25">
      <c r="B25" s="16" t="s">
        <v>175</v>
      </c>
      <c r="C25" s="80">
        <v>7.0000000000000007E-2</v>
      </c>
      <c r="D25" s="80">
        <v>7.0000000000000007E-2</v>
      </c>
      <c r="E25" s="80">
        <v>7.0000000000000007E-2</v>
      </c>
    </row>
    <row r="26" spans="1:5" x14ac:dyDescent="0.25">
      <c r="B26" t="s">
        <v>177</v>
      </c>
      <c r="C26" s="55">
        <f>'Income Statement '!G6*Assumptions!C25</f>
        <v>12092.061779000001</v>
      </c>
      <c r="D26" s="55">
        <f>'Income Statement '!H6*Assumptions!D25</f>
        <v>13119.887030215001</v>
      </c>
      <c r="E26" s="55">
        <f>'Income Statement '!I6*Assumptions!E25</f>
        <v>14235.077427783277</v>
      </c>
    </row>
    <row r="27" spans="1:5" x14ac:dyDescent="0.25">
      <c r="B27" t="s">
        <v>185</v>
      </c>
      <c r="C27" s="55">
        <f>'Balance Sheet'!F17</f>
        <v>8298</v>
      </c>
      <c r="D27" s="97">
        <v>0</v>
      </c>
      <c r="E27" s="97">
        <v>0</v>
      </c>
    </row>
    <row r="28" spans="1:5" x14ac:dyDescent="0.25">
      <c r="B28" s="50" t="s">
        <v>186</v>
      </c>
      <c r="C28" s="56">
        <f>C26-C27</f>
        <v>3794.0617790000015</v>
      </c>
      <c r="D28" s="56">
        <f t="shared" ref="D28:E28" si="0">D26-D27</f>
        <v>13119.887030215001</v>
      </c>
      <c r="E28" s="56">
        <f t="shared" si="0"/>
        <v>14235.077427783277</v>
      </c>
    </row>
    <row r="30" spans="1:5" x14ac:dyDescent="0.25">
      <c r="B30" s="9"/>
    </row>
  </sheetData>
  <mergeCells count="1">
    <mergeCell ref="B1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9B88-91DC-4EC5-BC71-2E022FDACB64}">
  <sheetPr>
    <tabColor theme="8" tint="0.59999389629810485"/>
  </sheetPr>
  <dimension ref="A1:M50"/>
  <sheetViews>
    <sheetView showGridLines="0" zoomScaleNormal="100" workbookViewId="0">
      <pane ySplit="5" topLeftCell="A10" activePane="bottomLeft" state="frozen"/>
      <selection pane="bottomLeft" activeCell="B1" sqref="B1:I2"/>
    </sheetView>
  </sheetViews>
  <sheetFormatPr defaultRowHeight="15" x14ac:dyDescent="0.25"/>
  <cols>
    <col min="1" max="1" width="1.85546875" customWidth="1"/>
    <col min="2" max="2" width="27.140625" bestFit="1" customWidth="1"/>
    <col min="3" max="3" width="12.7109375" bestFit="1" customWidth="1"/>
    <col min="4" max="6" width="13.28515625" bestFit="1" customWidth="1"/>
    <col min="7" max="7" width="11.85546875" bestFit="1" customWidth="1"/>
    <col min="8" max="9" width="10.28515625" bestFit="1" customWidth="1"/>
    <col min="12" max="12" width="16.140625" customWidth="1"/>
  </cols>
  <sheetData>
    <row r="1" spans="1:12" x14ac:dyDescent="0.25">
      <c r="B1" s="160" t="s">
        <v>189</v>
      </c>
      <c r="C1" s="160"/>
      <c r="D1" s="160"/>
      <c r="E1" s="160"/>
      <c r="F1" s="160"/>
      <c r="G1" s="160"/>
      <c r="H1" s="160"/>
      <c r="I1" s="160"/>
    </row>
    <row r="2" spans="1:12" x14ac:dyDescent="0.25">
      <c r="B2" s="160"/>
      <c r="C2" s="160"/>
      <c r="D2" s="160"/>
      <c r="E2" s="160"/>
      <c r="F2" s="160"/>
      <c r="G2" s="160"/>
      <c r="H2" s="160"/>
      <c r="I2" s="160"/>
    </row>
    <row r="3" spans="1:12" ht="14.25" customHeight="1" x14ac:dyDescent="0.25">
      <c r="B3" s="146" t="s">
        <v>215</v>
      </c>
    </row>
    <row r="4" spans="1:12" ht="15.75" x14ac:dyDescent="0.25">
      <c r="A4" t="s">
        <v>1</v>
      </c>
      <c r="B4" s="150" t="s">
        <v>2</v>
      </c>
      <c r="C4" s="151">
        <v>2022</v>
      </c>
      <c r="D4" s="151">
        <v>2023</v>
      </c>
      <c r="E4" s="151">
        <v>2024</v>
      </c>
      <c r="F4" s="151">
        <v>2025</v>
      </c>
      <c r="G4" s="152">
        <v>2026</v>
      </c>
      <c r="H4" s="152">
        <v>2027</v>
      </c>
      <c r="I4" s="152">
        <v>2028</v>
      </c>
    </row>
    <row r="5" spans="1:12" ht="4.5" customHeight="1" x14ac:dyDescent="0.25">
      <c r="B5" s="84"/>
      <c r="C5" s="85"/>
      <c r="D5" s="85"/>
      <c r="E5" s="85"/>
      <c r="F5" s="85"/>
      <c r="G5" s="86"/>
      <c r="H5" s="86"/>
      <c r="I5" s="86"/>
    </row>
    <row r="6" spans="1:12" x14ac:dyDescent="0.25">
      <c r="B6" s="9" t="s">
        <v>3</v>
      </c>
      <c r="C6" s="34">
        <f>IFERROR('Historical FS'!I5,0)</f>
        <v>90170.57</v>
      </c>
      <c r="D6" s="34">
        <f>IFERROR('Historical FS'!J5,0)</f>
        <v>121268.55</v>
      </c>
      <c r="E6" s="34">
        <f>IFERROR('Historical FS'!K5,0)</f>
        <v>139078.26999999999</v>
      </c>
      <c r="F6" s="34">
        <f>IFERROR('Historical FS'!L5,0)</f>
        <v>159210.82</v>
      </c>
      <c r="G6" s="108">
        <f>F6*(1+Assumptions!C9)</f>
        <v>172743.73970000001</v>
      </c>
      <c r="H6" s="108">
        <f>G6*(1+Assumptions!D9)</f>
        <v>187426.9575745</v>
      </c>
      <c r="I6" s="108">
        <f>H6*(1+Assumptions!E9)</f>
        <v>203358.24896833251</v>
      </c>
      <c r="J6" s="55"/>
      <c r="L6" s="11"/>
    </row>
    <row r="7" spans="1:12" x14ac:dyDescent="0.25">
      <c r="B7" s="63" t="s">
        <v>4</v>
      </c>
      <c r="C7" s="62"/>
      <c r="D7" s="113">
        <f t="shared" ref="D7:I7" si="0">D6/C6-1</f>
        <v>0.3448794878417647</v>
      </c>
      <c r="E7" s="113">
        <f t="shared" si="0"/>
        <v>0.14686182031532491</v>
      </c>
      <c r="F7" s="113">
        <f t="shared" si="0"/>
        <v>0.14475697749188288</v>
      </c>
      <c r="G7" s="114">
        <f t="shared" si="0"/>
        <v>8.4999999999999964E-2</v>
      </c>
      <c r="H7" s="114">
        <f t="shared" si="0"/>
        <v>8.4999999999999964E-2</v>
      </c>
      <c r="I7" s="114">
        <f t="shared" si="0"/>
        <v>8.4999999999999964E-2</v>
      </c>
    </row>
    <row r="8" spans="1:12" x14ac:dyDescent="0.25">
      <c r="C8" s="10"/>
      <c r="D8" s="10"/>
      <c r="E8" s="10"/>
      <c r="F8" s="10"/>
      <c r="G8" s="89"/>
      <c r="H8" s="89"/>
      <c r="I8" s="89"/>
    </row>
    <row r="9" spans="1:12" x14ac:dyDescent="0.25">
      <c r="B9" t="s">
        <v>5</v>
      </c>
      <c r="C9" s="14">
        <f>IFERROR('Historical FS'!I6,0)</f>
        <v>63855.469999999987</v>
      </c>
      <c r="D9" s="14">
        <f>IFERROR('Historical FS'!J6,0)</f>
        <v>88334.409999999989</v>
      </c>
      <c r="E9" s="14">
        <f>IFERROR('Historical FS'!K6,0)</f>
        <v>98783.56</v>
      </c>
      <c r="F9" s="14">
        <f>IFERROR('Historical FS'!L6,0)</f>
        <v>111863.52</v>
      </c>
      <c r="G9" s="101">
        <f>G6*G10</f>
        <v>118329.46169450002</v>
      </c>
      <c r="H9" s="101">
        <f t="shared" ref="H9:I9" si="1">H6*H10</f>
        <v>128387.46593853251</v>
      </c>
      <c r="I9" s="101">
        <f t="shared" si="1"/>
        <v>139300.40054330777</v>
      </c>
    </row>
    <row r="10" spans="1:12" x14ac:dyDescent="0.25">
      <c r="B10" s="63" t="s">
        <v>6</v>
      </c>
      <c r="C10" s="53">
        <f>C9/C6</f>
        <v>0.70816309578613046</v>
      </c>
      <c r="D10" s="53">
        <f t="shared" ref="D10:E10" si="2">D9/D6</f>
        <v>0.72841977577863337</v>
      </c>
      <c r="E10" s="53">
        <f t="shared" si="2"/>
        <v>0.71027314331706892</v>
      </c>
      <c r="F10" s="53">
        <f>F9/F6</f>
        <v>0.70261254856924926</v>
      </c>
      <c r="G10" s="90">
        <f>Assumptions!C11</f>
        <v>0.68500000000000005</v>
      </c>
      <c r="H10" s="90">
        <f>Assumptions!D11</f>
        <v>0.68500000000000005</v>
      </c>
      <c r="I10" s="90">
        <f>Assumptions!E11</f>
        <v>0.68500000000000005</v>
      </c>
    </row>
    <row r="11" spans="1:12" x14ac:dyDescent="0.25">
      <c r="A11" t="s">
        <v>1</v>
      </c>
      <c r="B11" s="15" t="s">
        <v>7</v>
      </c>
      <c r="C11" s="109">
        <f>C6-C9</f>
        <v>26315.10000000002</v>
      </c>
      <c r="D11" s="109">
        <f t="shared" ref="D11:I11" si="3">D6-D9</f>
        <v>32934.140000000014</v>
      </c>
      <c r="E11" s="109">
        <f t="shared" si="3"/>
        <v>40294.709999999992</v>
      </c>
      <c r="F11" s="109">
        <f t="shared" si="3"/>
        <v>47347.3</v>
      </c>
      <c r="G11" s="105">
        <f>G6-G9</f>
        <v>54414.278005499989</v>
      </c>
      <c r="H11" s="105">
        <f t="shared" si="3"/>
        <v>59039.491635967497</v>
      </c>
      <c r="I11" s="105">
        <f t="shared" si="3"/>
        <v>64057.848425024742</v>
      </c>
    </row>
    <row r="12" spans="1:12" x14ac:dyDescent="0.25">
      <c r="B12" s="63" t="s">
        <v>8</v>
      </c>
      <c r="C12" s="53">
        <f>C11/C6</f>
        <v>0.29183690421386954</v>
      </c>
      <c r="D12" s="53">
        <f t="shared" ref="D12:H12" si="4">D11/D6</f>
        <v>0.27158022422136663</v>
      </c>
      <c r="E12" s="53">
        <f t="shared" si="4"/>
        <v>0.28972685668293108</v>
      </c>
      <c r="F12" s="53">
        <f t="shared" si="4"/>
        <v>0.29738745143075074</v>
      </c>
      <c r="G12" s="90">
        <f t="shared" si="4"/>
        <v>0.31499999999999995</v>
      </c>
      <c r="H12" s="90">
        <f t="shared" si="4"/>
        <v>0.315</v>
      </c>
      <c r="I12" s="90">
        <f>I11/I6</f>
        <v>0.315</v>
      </c>
    </row>
    <row r="13" spans="1:12" x14ac:dyDescent="0.25">
      <c r="C13" s="10"/>
      <c r="D13" s="10"/>
      <c r="E13" s="10"/>
      <c r="F13" s="10"/>
      <c r="G13" s="89"/>
      <c r="H13" s="89"/>
      <c r="I13" s="89"/>
    </row>
    <row r="14" spans="1:12" x14ac:dyDescent="0.25">
      <c r="B14" t="s">
        <v>9</v>
      </c>
      <c r="C14" s="14">
        <f>IFERROR('Historical FS'!I9,0)</f>
        <v>11632.25</v>
      </c>
      <c r="D14" s="14">
        <f>IFERROR('Historical FS'!J9,0)</f>
        <v>12648.849999999999</v>
      </c>
      <c r="E14" s="14">
        <f>IFERROR('Historical FS'!K9,0)</f>
        <v>15402.78</v>
      </c>
      <c r="F14" s="14">
        <f>IFERROR('Historical FS'!L9,0)</f>
        <v>16829.11</v>
      </c>
      <c r="G14" s="101">
        <f>G6*G15</f>
        <v>18138.092668500001</v>
      </c>
      <c r="H14" s="101">
        <f>H6*H15</f>
        <v>19679.8305453225</v>
      </c>
      <c r="I14" s="101">
        <f>I6*I15</f>
        <v>21352.616141674913</v>
      </c>
    </row>
    <row r="15" spans="1:12" x14ac:dyDescent="0.25">
      <c r="B15" s="63" t="s">
        <v>10</v>
      </c>
      <c r="C15" s="53">
        <f>C14/C6</f>
        <v>0.12900273337520213</v>
      </c>
      <c r="D15" s="53">
        <f t="shared" ref="D15:F15" si="5">D14/D6</f>
        <v>0.10430445486484334</v>
      </c>
      <c r="E15" s="53">
        <f t="shared" si="5"/>
        <v>0.11074900485891867</v>
      </c>
      <c r="F15" s="53">
        <f t="shared" si="5"/>
        <v>0.10570330584315815</v>
      </c>
      <c r="G15" s="90">
        <f>Assumptions!C12</f>
        <v>0.105</v>
      </c>
      <c r="H15" s="90">
        <f>Assumptions!D12</f>
        <v>0.105</v>
      </c>
      <c r="I15" s="90">
        <f>Assumptions!E12</f>
        <v>0.105</v>
      </c>
    </row>
    <row r="16" spans="1:12" x14ac:dyDescent="0.25">
      <c r="A16" t="s">
        <v>1</v>
      </c>
      <c r="B16" s="29" t="s">
        <v>11</v>
      </c>
      <c r="C16" s="110">
        <f>C11-C14</f>
        <v>14682.85000000002</v>
      </c>
      <c r="D16" s="110">
        <f t="shared" ref="D16:F16" si="6">D11-D14</f>
        <v>20285.290000000015</v>
      </c>
      <c r="E16" s="110">
        <f t="shared" si="6"/>
        <v>24891.929999999993</v>
      </c>
      <c r="F16" s="110">
        <f t="shared" si="6"/>
        <v>30518.190000000002</v>
      </c>
      <c r="G16" s="105">
        <f>G11-G14</f>
        <v>36276.185336999988</v>
      </c>
      <c r="H16" s="105">
        <f>H11-H14</f>
        <v>39359.661090644993</v>
      </c>
      <c r="I16" s="105">
        <f>I11-I14</f>
        <v>42705.232283349833</v>
      </c>
    </row>
    <row r="17" spans="2:13" x14ac:dyDescent="0.25">
      <c r="B17" s="63" t="s">
        <v>12</v>
      </c>
      <c r="C17" s="53">
        <f>C16/C6</f>
        <v>0.16283417083866741</v>
      </c>
      <c r="D17" s="53">
        <f t="shared" ref="D17:I17" si="7">D16/D6</f>
        <v>0.1672757693565233</v>
      </c>
      <c r="E17" s="53">
        <f t="shared" si="7"/>
        <v>0.17897785182401243</v>
      </c>
      <c r="F17" s="53">
        <f t="shared" si="7"/>
        <v>0.19168414558759261</v>
      </c>
      <c r="G17" s="90">
        <f t="shared" si="7"/>
        <v>0.20999999999999994</v>
      </c>
      <c r="H17" s="90">
        <f t="shared" si="7"/>
        <v>0.20999999999999996</v>
      </c>
      <c r="I17" s="90">
        <f t="shared" si="7"/>
        <v>0.21000000000000002</v>
      </c>
    </row>
    <row r="18" spans="2:13" x14ac:dyDescent="0.25">
      <c r="C18" s="10"/>
      <c r="D18" s="10"/>
      <c r="E18" s="10"/>
      <c r="F18" s="10"/>
      <c r="G18" s="89"/>
      <c r="H18" s="89"/>
      <c r="I18" s="89"/>
    </row>
    <row r="19" spans="2:13" x14ac:dyDescent="0.25">
      <c r="B19" t="s">
        <v>13</v>
      </c>
      <c r="C19" s="14">
        <f>IFERROR('Historical FS'!I12,0)</f>
        <v>3507.5</v>
      </c>
      <c r="D19" s="14">
        <f>IFERROR('Historical FS'!J12,0)</f>
        <v>4356.8100000000004</v>
      </c>
      <c r="E19" s="14">
        <f>IFERROR('Historical FS'!K12,0)</f>
        <v>4723.78</v>
      </c>
      <c r="F19" s="14">
        <f>IFERROR('Historical FS'!L12,0)</f>
        <v>6073.65</v>
      </c>
      <c r="G19" s="101">
        <f>G6*G20</f>
        <v>6564.2621085999999</v>
      </c>
      <c r="H19" s="101">
        <f t="shared" ref="H19:I19" si="8">H6*H20</f>
        <v>7122.2243878310001</v>
      </c>
      <c r="I19" s="101">
        <f t="shared" si="8"/>
        <v>7727.6134607966351</v>
      </c>
      <c r="J19" s="55"/>
    </row>
    <row r="20" spans="2:13" x14ac:dyDescent="0.25">
      <c r="B20" s="63" t="s">
        <v>14</v>
      </c>
      <c r="C20" s="53">
        <f>IFERROR('Historical FS'!#REF!,0)</f>
        <v>0</v>
      </c>
      <c r="D20" s="53">
        <f>IFERROR('Historical FS'!#REF!,0)</f>
        <v>0</v>
      </c>
      <c r="E20" s="53">
        <f>IFERROR('Historical FS'!#REF!,0)</f>
        <v>0</v>
      </c>
      <c r="F20" s="53">
        <f>IFERROR('Historical FS'!#REF!,0)</f>
        <v>0</v>
      </c>
      <c r="G20" s="90">
        <f>Assumptions!C13</f>
        <v>3.7999999999999999E-2</v>
      </c>
      <c r="H20" s="90">
        <f>Assumptions!D13</f>
        <v>3.7999999999999999E-2</v>
      </c>
      <c r="I20" s="90">
        <f>Assumptions!E13</f>
        <v>3.7999999999999999E-2</v>
      </c>
    </row>
    <row r="21" spans="2:13" x14ac:dyDescent="0.25">
      <c r="B21" s="15" t="s">
        <v>15</v>
      </c>
      <c r="C21" s="109">
        <f>C16-C19</f>
        <v>11175.35000000002</v>
      </c>
      <c r="D21" s="109">
        <f t="shared" ref="D21:I21" si="9">D16-D19</f>
        <v>15928.480000000014</v>
      </c>
      <c r="E21" s="109">
        <f t="shared" si="9"/>
        <v>20168.149999999994</v>
      </c>
      <c r="F21" s="109">
        <f t="shared" si="9"/>
        <v>24444.54</v>
      </c>
      <c r="G21" s="105">
        <f>G16-G19</f>
        <v>29711.923228399988</v>
      </c>
      <c r="H21" s="105">
        <f>H16-H19</f>
        <v>32237.436702813993</v>
      </c>
      <c r="I21" s="105">
        <f t="shared" si="9"/>
        <v>34977.618822553195</v>
      </c>
    </row>
    <row r="22" spans="2:13" x14ac:dyDescent="0.25">
      <c r="B22" s="63" t="s">
        <v>16</v>
      </c>
      <c r="C22" s="113">
        <f>C21/C6</f>
        <v>0.12393566991979778</v>
      </c>
      <c r="D22" s="113">
        <f t="shared" ref="D22:I22" si="10">D21/D6</f>
        <v>0.13134881220233946</v>
      </c>
      <c r="E22" s="113">
        <f t="shared" si="10"/>
        <v>0.14501294846419929</v>
      </c>
      <c r="F22" s="113">
        <f t="shared" si="10"/>
        <v>0.15353567050279623</v>
      </c>
      <c r="G22" s="114">
        <f t="shared" si="10"/>
        <v>0.17199999999999993</v>
      </c>
      <c r="H22" s="114">
        <f t="shared" si="10"/>
        <v>0.17199999999999996</v>
      </c>
      <c r="I22" s="114">
        <f t="shared" si="10"/>
        <v>0.17200000000000001</v>
      </c>
    </row>
    <row r="23" spans="2:13" x14ac:dyDescent="0.25">
      <c r="C23" s="10"/>
      <c r="D23" s="10"/>
      <c r="E23" s="10"/>
      <c r="F23" s="10"/>
      <c r="G23" s="89"/>
      <c r="H23" s="89"/>
      <c r="I23" s="89"/>
    </row>
    <row r="24" spans="2:13" x14ac:dyDescent="0.25">
      <c r="B24" t="s">
        <v>17</v>
      </c>
      <c r="C24" s="14">
        <f>IFERROR('Historical FS'!I15,0)</f>
        <v>3204.47</v>
      </c>
      <c r="D24" s="14">
        <f>IFERROR('Historical FS'!J15,0)</f>
        <v>3961.45</v>
      </c>
      <c r="E24" s="14">
        <f>IFERROR('Historical FS'!K15,0)</f>
        <v>3297.85</v>
      </c>
      <c r="F24" s="14">
        <f>IFERROR('Historical FS'!L15,0)</f>
        <v>3718.47</v>
      </c>
      <c r="G24" s="101">
        <f>AVERAGE($C$24:$F$24)</f>
        <v>3545.56</v>
      </c>
      <c r="H24" s="101">
        <f t="shared" ref="H24:I24" si="11">AVERAGE($C$24:$F$24)</f>
        <v>3545.56</v>
      </c>
      <c r="I24" s="101">
        <f t="shared" si="11"/>
        <v>3545.56</v>
      </c>
    </row>
    <row r="25" spans="2:13" x14ac:dyDescent="0.25">
      <c r="B25" s="15" t="s">
        <v>18</v>
      </c>
      <c r="C25" s="109">
        <f>C21+C24</f>
        <v>14379.82000000002</v>
      </c>
      <c r="D25" s="109">
        <f t="shared" ref="D25:I25" si="12">D21+D24</f>
        <v>19889.930000000015</v>
      </c>
      <c r="E25" s="109">
        <f t="shared" si="12"/>
        <v>23465.999999999993</v>
      </c>
      <c r="F25" s="109">
        <f t="shared" si="12"/>
        <v>28163.010000000002</v>
      </c>
      <c r="G25" s="105">
        <f t="shared" si="12"/>
        <v>33257.483228399986</v>
      </c>
      <c r="H25" s="105">
        <f t="shared" si="12"/>
        <v>35782.996702813994</v>
      </c>
      <c r="I25" s="105">
        <f t="shared" si="12"/>
        <v>38523.178822553193</v>
      </c>
    </row>
    <row r="26" spans="2:13" x14ac:dyDescent="0.25">
      <c r="C26" s="10"/>
      <c r="D26" s="10"/>
      <c r="E26" s="10"/>
      <c r="F26" s="10"/>
      <c r="G26" s="89"/>
      <c r="H26" s="89"/>
      <c r="I26" s="89"/>
    </row>
    <row r="27" spans="2:13" x14ac:dyDescent="0.25">
      <c r="B27" t="s">
        <v>19</v>
      </c>
      <c r="C27" s="14">
        <f>IFERROR('Historical FS'!I18,0)</f>
        <v>5018.05</v>
      </c>
      <c r="D27" s="14">
        <f>IFERROR('Historical FS'!J18,0)</f>
        <v>5829.7</v>
      </c>
      <c r="E27" s="14">
        <f>IFERROR('Historical FS'!K18,0)</f>
        <v>7488.21</v>
      </c>
      <c r="F27" s="14">
        <f>IFERROR('Historical FS'!L18,0)</f>
        <v>9083.39</v>
      </c>
      <c r="G27" s="101">
        <f>F27*(1+Assumptions!C14)</f>
        <v>9719.2273000000005</v>
      </c>
      <c r="H27" s="101">
        <f>G27*(1+Assumptions!D14)</f>
        <v>10399.573211000001</v>
      </c>
      <c r="I27" s="101">
        <f>H27*(1+Assumptions!E14)</f>
        <v>11127.543335770002</v>
      </c>
    </row>
    <row r="28" spans="2:13" x14ac:dyDescent="0.25">
      <c r="B28" s="63" t="s">
        <v>20</v>
      </c>
      <c r="C28" s="53">
        <f>C27/C6</f>
        <v>5.5650640780023901E-2</v>
      </c>
      <c r="D28" s="53">
        <f t="shared" ref="D28:I28" si="13">D27/D6</f>
        <v>4.8072645380851008E-2</v>
      </c>
      <c r="E28" s="53">
        <f t="shared" si="13"/>
        <v>5.3841696477817856E-2</v>
      </c>
      <c r="F28" s="53">
        <f t="shared" si="13"/>
        <v>5.7052592279846298E-2</v>
      </c>
      <c r="G28" s="90">
        <f t="shared" si="13"/>
        <v>5.6263846764456726E-2</v>
      </c>
      <c r="H28" s="90">
        <f t="shared" si="13"/>
        <v>5.5486005564948114E-2</v>
      </c>
      <c r="I28" s="90">
        <f t="shared" si="13"/>
        <v>5.4718917930409665E-2</v>
      </c>
      <c r="J28" s="55"/>
      <c r="K28" s="55"/>
      <c r="L28" s="55"/>
      <c r="M28" s="55"/>
    </row>
    <row r="29" spans="2:13" x14ac:dyDescent="0.25">
      <c r="B29" s="15" t="s">
        <v>21</v>
      </c>
      <c r="C29" s="109">
        <f>C25-C27</f>
        <v>9361.7700000000186</v>
      </c>
      <c r="D29" s="109">
        <f t="shared" ref="D29:I29" si="14">D25-D27</f>
        <v>14060.230000000014</v>
      </c>
      <c r="E29" s="109">
        <f t="shared" si="14"/>
        <v>15977.789999999994</v>
      </c>
      <c r="F29" s="109">
        <f t="shared" si="14"/>
        <v>19079.620000000003</v>
      </c>
      <c r="G29" s="105">
        <f t="shared" si="14"/>
        <v>23538.255928399987</v>
      </c>
      <c r="H29" s="105">
        <f t="shared" si="14"/>
        <v>25383.423491813992</v>
      </c>
      <c r="I29" s="105">
        <f t="shared" si="14"/>
        <v>27395.635486783191</v>
      </c>
    </row>
    <row r="30" spans="2:13" x14ac:dyDescent="0.25">
      <c r="B30" s="63" t="s">
        <v>22</v>
      </c>
      <c r="C30" s="53">
        <f>C29/C6</f>
        <v>0.10382289920092573</v>
      </c>
      <c r="D30" s="53">
        <f t="shared" ref="D30:I30" si="15">D29/D6</f>
        <v>0.11594292172207891</v>
      </c>
      <c r="E30" s="53">
        <f t="shared" si="15"/>
        <v>0.11488343937554008</v>
      </c>
      <c r="F30" s="53">
        <f t="shared" si="15"/>
        <v>0.11983871447932999</v>
      </c>
      <c r="G30" s="90">
        <f t="shared" si="15"/>
        <v>0.13626112280119859</v>
      </c>
      <c r="H30" s="90">
        <f t="shared" si="15"/>
        <v>0.13543101707620891</v>
      </c>
      <c r="I30" s="90">
        <f t="shared" si="15"/>
        <v>0.13471612597849086</v>
      </c>
    </row>
    <row r="31" spans="2:13" x14ac:dyDescent="0.25">
      <c r="C31" s="10"/>
      <c r="D31" s="10"/>
      <c r="E31" s="10"/>
      <c r="F31" s="10"/>
      <c r="G31" s="89"/>
      <c r="H31" s="89"/>
      <c r="I31" s="89"/>
    </row>
    <row r="32" spans="2:13" x14ac:dyDescent="0.25">
      <c r="B32" t="s">
        <v>23</v>
      </c>
      <c r="C32" s="14">
        <f>IFERROR('Historical FS'!I21,0)</f>
        <v>2108.7600000000002</v>
      </c>
      <c r="D32" s="14">
        <f>IFERROR('Historical FS'!J21,0)</f>
        <v>2685.75</v>
      </c>
      <c r="E32" s="14">
        <f>IFERROR('Historical FS'!K21,0)</f>
        <v>3707.97</v>
      </c>
      <c r="F32" s="14">
        <f>IFERROR('Historical FS'!L21,0)</f>
        <v>5006.45</v>
      </c>
      <c r="G32" s="101">
        <f>G29*G33</f>
        <v>5884.5639820999968</v>
      </c>
      <c r="H32" s="101">
        <f t="shared" ref="H32:I32" si="16">H29*H33</f>
        <v>6345.855872953498</v>
      </c>
      <c r="I32" s="101">
        <f t="shared" si="16"/>
        <v>6848.9088716957976</v>
      </c>
      <c r="J32" s="55"/>
      <c r="K32" s="55"/>
      <c r="L32" s="55"/>
      <c r="M32" s="55"/>
    </row>
    <row r="33" spans="1:9" x14ac:dyDescent="0.25">
      <c r="B33" s="63" t="s">
        <v>24</v>
      </c>
      <c r="C33" s="53">
        <f>IFERROR('Historical FS'!I22,0)</f>
        <v>0.22525227601190759</v>
      </c>
      <c r="D33" s="53">
        <f>IFERROR('Historical FS'!J22,0)</f>
        <v>0.19101750113618321</v>
      </c>
      <c r="E33" s="53">
        <f>IFERROR('Historical FS'!K22,0)</f>
        <v>0.23207026754012922</v>
      </c>
      <c r="F33" s="53">
        <f>IFERROR('Historical FS'!L22,0)</f>
        <v>0.26239778360365662</v>
      </c>
      <c r="G33" s="90">
        <f>Assumptions!C15</f>
        <v>0.25</v>
      </c>
      <c r="H33" s="90">
        <f>Assumptions!D15</f>
        <v>0.25</v>
      </c>
      <c r="I33" s="90">
        <f>Assumptions!E15</f>
        <v>0.25</v>
      </c>
    </row>
    <row r="34" spans="1:9" x14ac:dyDescent="0.25">
      <c r="A34" t="s">
        <v>1</v>
      </c>
      <c r="B34" s="15" t="s">
        <v>25</v>
      </c>
      <c r="C34" s="109">
        <f>C29-C32</f>
        <v>7253.0100000000184</v>
      </c>
      <c r="D34" s="109">
        <f t="shared" ref="D34:I34" si="17">D29-D32</f>
        <v>11374.480000000014</v>
      </c>
      <c r="E34" s="109">
        <f t="shared" si="17"/>
        <v>12269.819999999994</v>
      </c>
      <c r="F34" s="109">
        <f t="shared" si="17"/>
        <v>14073.170000000002</v>
      </c>
      <c r="G34" s="105">
        <f>G29-G32</f>
        <v>17653.69194629999</v>
      </c>
      <c r="H34" s="105">
        <f t="shared" si="17"/>
        <v>19037.567618860492</v>
      </c>
      <c r="I34" s="105">
        <f t="shared" si="17"/>
        <v>20546.726615087391</v>
      </c>
    </row>
    <row r="35" spans="1:9" x14ac:dyDescent="0.25">
      <c r="B35" s="63" t="s">
        <v>26</v>
      </c>
      <c r="C35" s="53">
        <f>C34/C6</f>
        <v>8.0436554853762346E-2</v>
      </c>
      <c r="D35" s="53">
        <f t="shared" ref="D35:I35" si="18">D34/D6</f>
        <v>9.3795794540299307E-2</v>
      </c>
      <c r="E35" s="53">
        <f t="shared" si="18"/>
        <v>8.8222408863728285E-2</v>
      </c>
      <c r="F35" s="53">
        <f t="shared" si="18"/>
        <v>8.8393301410042369E-2</v>
      </c>
      <c r="G35" s="90">
        <f t="shared" si="18"/>
        <v>0.10219584210089895</v>
      </c>
      <c r="H35" s="90">
        <f t="shared" si="18"/>
        <v>0.10157326280715667</v>
      </c>
      <c r="I35" s="90">
        <f t="shared" si="18"/>
        <v>0.10103709448386813</v>
      </c>
    </row>
    <row r="36" spans="1:9" x14ac:dyDescent="0.25">
      <c r="G36" s="89"/>
      <c r="H36" s="89"/>
      <c r="I36" s="89"/>
    </row>
    <row r="37" spans="1:9" x14ac:dyDescent="0.25">
      <c r="B37" t="s">
        <v>27</v>
      </c>
      <c r="C37" s="14">
        <f>IFERROR('Historical FS'!I25,0)</f>
        <v>-676</v>
      </c>
      <c r="D37" s="14">
        <f>IFERROR('Historical FS'!J25,0)</f>
        <v>-1093</v>
      </c>
      <c r="E37" s="14">
        <f>IFERROR('Historical FS'!K25,0)</f>
        <v>-1001</v>
      </c>
      <c r="F37" s="14">
        <f>IFERROR('Historical FS'!L25,0)</f>
        <v>-1144</v>
      </c>
      <c r="G37" s="101">
        <f>F37</f>
        <v>-1144</v>
      </c>
      <c r="H37" s="101">
        <f t="shared" ref="H37:I37" si="19">G37</f>
        <v>-1144</v>
      </c>
      <c r="I37" s="101">
        <f t="shared" si="19"/>
        <v>-1144</v>
      </c>
    </row>
    <row r="38" spans="1:9" x14ac:dyDescent="0.25">
      <c r="B38" s="15" t="s">
        <v>178</v>
      </c>
      <c r="C38" s="109">
        <f>SUM(C34,C37)</f>
        <v>6577.0100000000184</v>
      </c>
      <c r="D38" s="109">
        <f t="shared" ref="D38:E38" si="20">SUM(D34,D37)</f>
        <v>10281.480000000014</v>
      </c>
      <c r="E38" s="109">
        <f t="shared" si="20"/>
        <v>11268.819999999994</v>
      </c>
      <c r="F38" s="109">
        <f>SUM(F34,F37)</f>
        <v>12929.170000000002</v>
      </c>
      <c r="G38" s="105">
        <f t="shared" ref="G38:I38" si="21">SUM(G34,G37)</f>
        <v>16509.69194629999</v>
      </c>
      <c r="H38" s="105">
        <f t="shared" si="21"/>
        <v>17893.567618860492</v>
      </c>
      <c r="I38" s="105">
        <f t="shared" si="21"/>
        <v>19402.726615087391</v>
      </c>
    </row>
    <row r="39" spans="1:9" x14ac:dyDescent="0.25">
      <c r="G39" s="89"/>
      <c r="H39" s="89"/>
      <c r="I39" s="89"/>
    </row>
    <row r="40" spans="1:9" x14ac:dyDescent="0.25">
      <c r="B40" s="28" t="s">
        <v>170</v>
      </c>
      <c r="C40" s="92">
        <f>IFERROR('Historical FS'!I34,0)</f>
        <v>0.19530151238936788</v>
      </c>
      <c r="D40" s="92">
        <f>IFERROR('Historical FS'!J34,0)</f>
        <v>0.17601162478553647</v>
      </c>
      <c r="E40" s="92">
        <f>IFERROR('Historical FS'!K34,0)</f>
        <v>0.2087299291318879</v>
      </c>
      <c r="F40" s="92">
        <f>IFERROR('Historical FS'!L34,0)</f>
        <v>0.2184393893807568</v>
      </c>
      <c r="G40" s="93">
        <f>Assumptions!C19</f>
        <v>0.2</v>
      </c>
      <c r="H40" s="93">
        <f>Assumptions!D19</f>
        <v>0.2</v>
      </c>
      <c r="I40" s="93">
        <f>Assumptions!E19</f>
        <v>0.2</v>
      </c>
    </row>
    <row r="41" spans="1:9" x14ac:dyDescent="0.25">
      <c r="B41" s="27" t="s">
        <v>109</v>
      </c>
      <c r="C41" s="111">
        <f>C38*C40</f>
        <v>1284.5</v>
      </c>
      <c r="D41" s="111">
        <f t="shared" ref="D41:F41" si="22">D38*D40</f>
        <v>1809.66</v>
      </c>
      <c r="E41" s="111">
        <f t="shared" si="22"/>
        <v>2352.14</v>
      </c>
      <c r="F41" s="111">
        <f t="shared" si="22"/>
        <v>2824.24</v>
      </c>
      <c r="G41" s="112">
        <f>G38*G40</f>
        <v>3301.9383892599981</v>
      </c>
      <c r="H41" s="112">
        <f t="shared" ref="H41:I41" si="23">H38*H40</f>
        <v>3578.7135237720986</v>
      </c>
      <c r="I41" s="112">
        <f t="shared" si="23"/>
        <v>3880.5453230174785</v>
      </c>
    </row>
    <row r="42" spans="1:9" x14ac:dyDescent="0.25">
      <c r="B42" s="28"/>
      <c r="C42" s="23"/>
      <c r="D42" s="23"/>
      <c r="E42" s="23"/>
      <c r="F42" s="23"/>
      <c r="G42" s="83"/>
      <c r="H42" s="83"/>
      <c r="I42" s="83"/>
    </row>
    <row r="43" spans="1:9" x14ac:dyDescent="0.25">
      <c r="B43" s="28" t="s">
        <v>34</v>
      </c>
      <c r="C43" s="91">
        <f>IFERROR(IF('Income Statement '!C38&gt;'Income Statement '!C41,1-'Income Statement '!C40,0),0)</f>
        <v>0.80469848761063212</v>
      </c>
      <c r="D43" s="91">
        <f>IFERROR(IF('Income Statement '!D38&gt;'Income Statement '!D41,1-'Income Statement '!D40,0),0)</f>
        <v>0.82398837521446355</v>
      </c>
      <c r="E43" s="91">
        <f>IFERROR(IF('Income Statement '!E38&gt;'Income Statement '!E41,1-'Income Statement '!E40,0),0)</f>
        <v>0.79127007086811207</v>
      </c>
      <c r="F43" s="91">
        <f>IFERROR(IF('Income Statement '!F38&gt;'Income Statement '!F41,1-'Income Statement '!F40,0),0)</f>
        <v>0.7815606106192432</v>
      </c>
      <c r="G43" s="94">
        <f>IFERROR(IF('Income Statement '!G38&gt;'Income Statement '!G41,1-'Income Statement '!G40,0),0)</f>
        <v>0.8</v>
      </c>
      <c r="H43" s="94">
        <f>IFERROR(IF('Income Statement '!H38&gt;'Income Statement '!H41,1-'Income Statement '!H40,0),0)</f>
        <v>0.8</v>
      </c>
      <c r="I43" s="94">
        <f>IFERROR(IF('Income Statement '!I38&gt;'Income Statement '!I41,1-'Income Statement '!I40,0),0)</f>
        <v>0.8</v>
      </c>
    </row>
    <row r="44" spans="1:9" x14ac:dyDescent="0.25">
      <c r="A44" t="s">
        <v>1</v>
      </c>
      <c r="B44" s="27" t="s">
        <v>172</v>
      </c>
      <c r="C44" s="111">
        <f>C38-C41</f>
        <v>5292.5100000000184</v>
      </c>
      <c r="D44" s="111">
        <f t="shared" ref="D44:I44" si="24">D38-D41</f>
        <v>8471.8200000000143</v>
      </c>
      <c r="E44" s="111">
        <f t="shared" si="24"/>
        <v>8916.6799999999948</v>
      </c>
      <c r="F44" s="111">
        <f t="shared" si="24"/>
        <v>10104.930000000002</v>
      </c>
      <c r="G44" s="112">
        <f>G38-G41</f>
        <v>13207.753557039992</v>
      </c>
      <c r="H44" s="112">
        <f t="shared" si="24"/>
        <v>14314.854095088394</v>
      </c>
      <c r="I44" s="112">
        <f t="shared" si="24"/>
        <v>15522.181292069912</v>
      </c>
    </row>
    <row r="45" spans="1:9" x14ac:dyDescent="0.25">
      <c r="B45" s="12"/>
      <c r="C45" s="51"/>
      <c r="D45" s="48"/>
      <c r="E45" s="48"/>
      <c r="F45" s="48"/>
    </row>
    <row r="46" spans="1:9" x14ac:dyDescent="0.25">
      <c r="B46" s="12"/>
      <c r="C46" s="48"/>
      <c r="D46" s="48"/>
      <c r="E46" s="48"/>
      <c r="F46" s="48"/>
    </row>
    <row r="47" spans="1:9" x14ac:dyDescent="0.25">
      <c r="C47" s="10"/>
      <c r="D47" s="10"/>
      <c r="E47" s="10"/>
      <c r="F47" s="10"/>
    </row>
    <row r="48" spans="1:9" x14ac:dyDescent="0.25">
      <c r="B48" s="12"/>
      <c r="C48" s="48"/>
      <c r="D48" s="48"/>
      <c r="E48" s="48"/>
      <c r="F48" s="48"/>
    </row>
    <row r="49" spans="3:6" x14ac:dyDescent="0.25">
      <c r="E49" s="24"/>
    </row>
    <row r="50" spans="3:6" x14ac:dyDescent="0.25">
      <c r="C50" s="24"/>
      <c r="D50" s="24"/>
      <c r="E50" s="24"/>
      <c r="F50" s="24"/>
    </row>
  </sheetData>
  <mergeCells count="1">
    <mergeCell ref="B1:I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3C6C-4107-4D6E-A1F3-F857F05BD167}">
  <sheetPr>
    <tabColor theme="8" tint="0.59999389629810485"/>
  </sheetPr>
  <dimension ref="A1:N30"/>
  <sheetViews>
    <sheetView showGridLines="0" zoomScaleNormal="100" workbookViewId="0">
      <pane ySplit="5" topLeftCell="A12" activePane="bottomLeft" state="frozen"/>
      <selection pane="bottomLeft" activeCell="K18" sqref="K18"/>
    </sheetView>
  </sheetViews>
  <sheetFormatPr defaultRowHeight="15" x14ac:dyDescent="0.25"/>
  <cols>
    <col min="1" max="1" width="1.85546875" customWidth="1"/>
    <col min="2" max="2" width="22.85546875" bestFit="1" customWidth="1"/>
    <col min="3" max="9" width="11.140625" bestFit="1" customWidth="1"/>
    <col min="10" max="10" width="10.85546875" bestFit="1" customWidth="1"/>
    <col min="11" max="11" width="10.5703125" customWidth="1"/>
  </cols>
  <sheetData>
    <row r="1" spans="1:11" x14ac:dyDescent="0.25">
      <c r="B1" s="160" t="s">
        <v>188</v>
      </c>
      <c r="C1" s="160"/>
      <c r="D1" s="160"/>
      <c r="E1" s="160"/>
      <c r="F1" s="160"/>
      <c r="G1" s="160"/>
      <c r="H1" s="160"/>
      <c r="I1" s="160"/>
    </row>
    <row r="2" spans="1:11" x14ac:dyDescent="0.25">
      <c r="B2" s="160"/>
      <c r="C2" s="160"/>
      <c r="D2" s="160"/>
      <c r="E2" s="160"/>
      <c r="F2" s="160"/>
      <c r="G2" s="160"/>
      <c r="H2" s="160"/>
      <c r="I2" s="160"/>
    </row>
    <row r="3" spans="1:11" ht="3.75" customHeight="1" x14ac:dyDescent="0.25">
      <c r="B3" s="146"/>
    </row>
    <row r="4" spans="1:11" x14ac:dyDescent="0.25">
      <c r="A4" t="s">
        <v>1</v>
      </c>
      <c r="B4" s="25" t="s">
        <v>35</v>
      </c>
      <c r="C4" s="87">
        <f>'Income Statement '!C4</f>
        <v>2022</v>
      </c>
      <c r="D4" s="87">
        <f>'Income Statement '!D4</f>
        <v>2023</v>
      </c>
      <c r="E4" s="87">
        <f>'Income Statement '!E4</f>
        <v>2024</v>
      </c>
      <c r="F4" s="87">
        <f>'Income Statement '!F4</f>
        <v>2025</v>
      </c>
      <c r="G4" s="88">
        <f>'Income Statement '!G4</f>
        <v>2026</v>
      </c>
      <c r="H4" s="88">
        <f>'Income Statement '!H4</f>
        <v>2027</v>
      </c>
      <c r="I4" s="88">
        <f>'Income Statement '!I4</f>
        <v>2028</v>
      </c>
    </row>
    <row r="5" spans="1:11" ht="4.5" customHeight="1" x14ac:dyDescent="0.25">
      <c r="B5" s="9"/>
      <c r="C5" s="124"/>
      <c r="D5" s="124"/>
      <c r="E5" s="124"/>
      <c r="F5" s="124"/>
      <c r="G5" s="123"/>
      <c r="H5" s="123"/>
      <c r="I5" s="123"/>
    </row>
    <row r="6" spans="1:11" x14ac:dyDescent="0.25">
      <c r="B6" t="s">
        <v>36</v>
      </c>
      <c r="C6" s="14">
        <f>IFERROR('Historical FS'!I40,0)</f>
        <v>556</v>
      </c>
      <c r="D6" s="14">
        <f>IFERROR('Historical FS'!J40,0)</f>
        <v>556</v>
      </c>
      <c r="E6" s="14">
        <f>IFERROR('Historical FS'!K40,0)</f>
        <v>557</v>
      </c>
      <c r="F6" s="14">
        <f>IFERROR('Historical FS'!L40,0)</f>
        <v>558</v>
      </c>
      <c r="G6" s="101">
        <f>F6</f>
        <v>558</v>
      </c>
      <c r="H6" s="101">
        <f t="shared" ref="H6:I6" si="0">G6</f>
        <v>558</v>
      </c>
      <c r="I6" s="101">
        <f t="shared" si="0"/>
        <v>558</v>
      </c>
    </row>
    <row r="7" spans="1:11" x14ac:dyDescent="0.25">
      <c r="B7" t="s">
        <v>37</v>
      </c>
      <c r="C7" s="14">
        <f>IFERROR('Historical FS'!I41,0)</f>
        <v>46566</v>
      </c>
      <c r="D7" s="14">
        <f>IFERROR('Historical FS'!J41,0)</f>
        <v>55809</v>
      </c>
      <c r="E7" s="14">
        <f>IFERROR('Historical FS'!K41,0)</f>
        <v>65631</v>
      </c>
      <c r="F7" s="14">
        <f>IFERROR('Historical FS'!L41,0)</f>
        <v>76484</v>
      </c>
      <c r="G7" s="101">
        <f>F7+'Income Statement '!G34-'Income Statement '!G41</f>
        <v>90835.753557039992</v>
      </c>
      <c r="H7" s="101">
        <f>G7+'Income Statement '!H34-'Income Statement '!H41</f>
        <v>106294.6076521284</v>
      </c>
      <c r="I7" s="101">
        <f>H7+'Income Statement '!I34-'Income Statement '!I41</f>
        <v>122960.78894419831</v>
      </c>
    </row>
    <row r="8" spans="1:11" x14ac:dyDescent="0.25">
      <c r="B8" s="18" t="s">
        <v>169</v>
      </c>
      <c r="C8" s="102">
        <f>C7+C6</f>
        <v>47122</v>
      </c>
      <c r="D8" s="102">
        <f t="shared" ref="D8:F8" si="1">D7+D6</f>
        <v>56365</v>
      </c>
      <c r="E8" s="102">
        <f>E7+E6</f>
        <v>66188</v>
      </c>
      <c r="F8" s="102">
        <f t="shared" si="1"/>
        <v>77042</v>
      </c>
      <c r="G8" s="103">
        <f t="shared" ref="G8" si="2">G7+G6</f>
        <v>91393.753557039992</v>
      </c>
      <c r="H8" s="103">
        <f>H7+H6</f>
        <v>106852.6076521284</v>
      </c>
      <c r="I8" s="103">
        <f t="shared" ref="I8" si="3">I7+I6</f>
        <v>123518.78894419831</v>
      </c>
    </row>
    <row r="9" spans="1:11" x14ac:dyDescent="0.25">
      <c r="C9" s="14"/>
      <c r="D9" s="14"/>
      <c r="E9" s="14"/>
      <c r="F9" s="14"/>
      <c r="G9" s="101"/>
      <c r="H9" s="101"/>
      <c r="I9" s="101"/>
    </row>
    <row r="10" spans="1:11" x14ac:dyDescent="0.25">
      <c r="B10" t="s">
        <v>134</v>
      </c>
      <c r="C10" s="14">
        <f>IFERROR('Historical FS'!I43,0)</f>
        <v>48625</v>
      </c>
      <c r="D10" s="14">
        <f>IFERROR('Historical FS'!J43,0)</f>
        <v>55027</v>
      </c>
      <c r="E10" s="14">
        <f>IFERROR('Historical FS'!K43,0)</f>
        <v>69741</v>
      </c>
      <c r="F10" s="14">
        <f>IFERROR('Historical FS'!L43,0)</f>
        <v>83782</v>
      </c>
      <c r="G10" s="101">
        <f>F10</f>
        <v>83782</v>
      </c>
      <c r="H10" s="101">
        <f t="shared" ref="H10:I10" si="4">G10</f>
        <v>83782</v>
      </c>
      <c r="I10" s="101">
        <f t="shared" si="4"/>
        <v>83782</v>
      </c>
    </row>
    <row r="11" spans="1:11" x14ac:dyDescent="0.25">
      <c r="B11" t="s">
        <v>135</v>
      </c>
      <c r="C11" s="14">
        <f>IFERROR(SUM('Historical FS'!I44:I47),0)</f>
        <v>28980</v>
      </c>
      <c r="D11" s="14">
        <f>IFERROR(SUM('Historical FS'!J44:J47),0)</f>
        <v>37220</v>
      </c>
      <c r="E11" s="14">
        <f>IFERROR(SUM('Historical FS'!K44:K47),0)</f>
        <v>38906</v>
      </c>
      <c r="F11" s="14">
        <f>IFERROR(SUM('Historical FS'!L44:L47),0)</f>
        <v>45242</v>
      </c>
      <c r="G11" s="101">
        <f>F11</f>
        <v>45242</v>
      </c>
      <c r="H11" s="101">
        <f t="shared" ref="H11:I11" si="5">G11</f>
        <v>45242</v>
      </c>
      <c r="I11" s="101">
        <f t="shared" si="5"/>
        <v>45242</v>
      </c>
    </row>
    <row r="12" spans="1:11" x14ac:dyDescent="0.25">
      <c r="B12" t="s">
        <v>141</v>
      </c>
      <c r="C12" s="14">
        <f>IFERROR('Historical FS'!I50,0)</f>
        <v>19037</v>
      </c>
      <c r="D12" s="14">
        <f>IFERROR('Historical FS'!J50,0)</f>
        <v>23836</v>
      </c>
      <c r="E12" s="14">
        <f>IFERROR('Historical FS'!K50,0)</f>
        <v>25666</v>
      </c>
      <c r="F12" s="14">
        <f>IFERROR('Historical FS'!L50,0)</f>
        <v>30855</v>
      </c>
      <c r="G12" s="101">
        <f>'Income Statement '!G9*Assumptions!C20</f>
        <v>29582.365423625004</v>
      </c>
      <c r="H12" s="101">
        <f>'Income Statement '!H9*Assumptions!D20</f>
        <v>32096.866484633127</v>
      </c>
      <c r="I12" s="101">
        <f>'Income Statement '!I9*Assumptions!E20</f>
        <v>34825.100135826942</v>
      </c>
    </row>
    <row r="13" spans="1:11" x14ac:dyDescent="0.25">
      <c r="B13" t="s">
        <v>39</v>
      </c>
      <c r="C13" s="14">
        <f>IFERROR(SUM('Historical FS'!I52,'Historical FS'!I49),0)</f>
        <v>28624</v>
      </c>
      <c r="D13" s="14">
        <f>IFERROR(SUM('Historical FS'!J52,'Historical FS'!J49),0)</f>
        <v>31835</v>
      </c>
      <c r="E13" s="14">
        <f>IFERROR(SUM('Historical FS'!K52,'Historical FS'!K49),0)</f>
        <v>34219</v>
      </c>
      <c r="F13" s="14">
        <f>IFERROR(SUM('Historical FS'!L52,'Historical FS'!L49),0)</f>
        <v>39094</v>
      </c>
      <c r="G13" s="101">
        <f>F13</f>
        <v>39094</v>
      </c>
      <c r="H13" s="101">
        <f t="shared" ref="H13:I13" si="6">G13</f>
        <v>39094</v>
      </c>
      <c r="I13" s="101">
        <f t="shared" si="6"/>
        <v>39094</v>
      </c>
    </row>
    <row r="14" spans="1:11" x14ac:dyDescent="0.25">
      <c r="B14" s="100" t="s">
        <v>40</v>
      </c>
      <c r="C14" s="104">
        <f>SUM(C13,C12,C11,C10,C8)</f>
        <v>172388</v>
      </c>
      <c r="D14" s="104">
        <f>SUM(D13,D12,D11,D10,D8)</f>
        <v>204283</v>
      </c>
      <c r="E14" s="104">
        <f>SUM(E13,E12,E11,E10,E8)</f>
        <v>234720</v>
      </c>
      <c r="F14" s="104">
        <f>SUM(F13,F12,F11,F10,F8)</f>
        <v>276015</v>
      </c>
      <c r="G14" s="105">
        <f>SUM(G13,G12,G11,G10,G8)</f>
        <v>289094.11898066499</v>
      </c>
      <c r="H14" s="105">
        <f t="shared" ref="H14" si="7">SUM(H13,H12,H11,H10,H8)</f>
        <v>307067.47413676151</v>
      </c>
      <c r="I14" s="105">
        <f>SUM(I13,I12,I11,I10,I8)</f>
        <v>326461.88908002526</v>
      </c>
    </row>
    <row r="15" spans="1:11" x14ac:dyDescent="0.25">
      <c r="C15" s="14"/>
      <c r="D15" s="14"/>
      <c r="E15" s="14"/>
      <c r="F15" s="14"/>
      <c r="G15" s="101"/>
      <c r="H15" s="101"/>
      <c r="I15" s="101"/>
    </row>
    <row r="16" spans="1:11" x14ac:dyDescent="0.25">
      <c r="B16" t="s">
        <v>41</v>
      </c>
      <c r="C16" s="14">
        <f>IFERROR('Historical FS'!I65,0)</f>
        <v>26018</v>
      </c>
      <c r="D16" s="14">
        <f>IFERROR('Historical FS'!J65,0)</f>
        <v>27140</v>
      </c>
      <c r="E16" s="14">
        <f>IFERROR('Historical FS'!K65,0)</f>
        <v>28129</v>
      </c>
      <c r="F16" s="14">
        <f>IFERROR('Historical FS'!L65,0)</f>
        <v>34637</v>
      </c>
      <c r="G16" s="101">
        <f>(SUM(F16+F17+Assumptions!C28)-'Income Statement '!G19)</f>
        <v>40164.799670400003</v>
      </c>
      <c r="H16" s="101">
        <f>(SUM(G16+G17+Assumptions!D28)-'Income Statement '!H19)</f>
        <v>46162.462312784002</v>
      </c>
      <c r="I16" s="101">
        <f>(SUM(H16+H17+Assumptions!E28)-'Income Statement '!I19)</f>
        <v>52669.92627977064</v>
      </c>
      <c r="J16" s="55"/>
      <c r="K16" s="55"/>
    </row>
    <row r="17" spans="1:14" x14ac:dyDescent="0.25">
      <c r="B17" t="s">
        <v>154</v>
      </c>
      <c r="C17" s="14">
        <f>IFERROR('Historical FS'!I67,0)</f>
        <v>6703</v>
      </c>
      <c r="D17" s="14">
        <f>IFERROR('Historical FS'!J67,0)</f>
        <v>3969</v>
      </c>
      <c r="E17" s="14">
        <f>IFERROR('Historical FS'!K67,0)</f>
        <v>8039</v>
      </c>
      <c r="F17" s="14">
        <f>IFERROR('Historical FS'!L67,0)</f>
        <v>8298</v>
      </c>
      <c r="G17" s="106">
        <v>0</v>
      </c>
      <c r="H17" s="106">
        <v>0</v>
      </c>
      <c r="I17" s="106">
        <v>0</v>
      </c>
    </row>
    <row r="18" spans="1:14" x14ac:dyDescent="0.25">
      <c r="B18" t="s">
        <v>43</v>
      </c>
      <c r="C18" s="14">
        <f>IFERROR('Historical FS'!I68,0)</f>
        <v>30060</v>
      </c>
      <c r="D18" s="14">
        <f>IFERROR('Historical FS'!J68,0)</f>
        <v>35272</v>
      </c>
      <c r="E18" s="14">
        <f>IFERROR('Historical FS'!K68,0)</f>
        <v>35208</v>
      </c>
      <c r="F18" s="14">
        <f>IFERROR('Historical FS'!L68,0)</f>
        <v>41309</v>
      </c>
      <c r="G18" s="101">
        <f>F18</f>
        <v>41309</v>
      </c>
      <c r="H18" s="101">
        <f t="shared" ref="H18:I18" si="8">G18</f>
        <v>41309</v>
      </c>
      <c r="I18" s="101">
        <f t="shared" si="8"/>
        <v>41309</v>
      </c>
    </row>
    <row r="19" spans="1:14" x14ac:dyDescent="0.25">
      <c r="B19" s="18" t="s">
        <v>45</v>
      </c>
      <c r="C19" s="102">
        <f>SUM(C16:C18)</f>
        <v>62781</v>
      </c>
      <c r="D19" s="102">
        <f>SUM(D16:D18)</f>
        <v>66381</v>
      </c>
      <c r="E19" s="102">
        <f>SUM(E16:E18)</f>
        <v>71376</v>
      </c>
      <c r="F19" s="102">
        <f>SUM(F16:F18)</f>
        <v>84244</v>
      </c>
      <c r="G19" s="103">
        <f>SUM(G16:G18)</f>
        <v>81473.799670400011</v>
      </c>
      <c r="H19" s="103">
        <f t="shared" ref="H19:I19" si="9">SUM(H16:H18)</f>
        <v>87471.462312784002</v>
      </c>
      <c r="I19" s="103">
        <f t="shared" si="9"/>
        <v>93978.926279770647</v>
      </c>
    </row>
    <row r="20" spans="1:14" x14ac:dyDescent="0.25">
      <c r="B20" s="9"/>
      <c r="C20" s="14"/>
      <c r="D20" s="14"/>
      <c r="E20" s="14"/>
      <c r="F20" s="14"/>
      <c r="G20" s="101"/>
      <c r="H20" s="101"/>
      <c r="I20" s="101"/>
      <c r="N20" s="9"/>
    </row>
    <row r="21" spans="1:14" x14ac:dyDescent="0.25">
      <c r="B21" t="s">
        <v>180</v>
      </c>
      <c r="C21" s="14">
        <f>IFERROR('Historical FS'!I71,0)</f>
        <v>6374</v>
      </c>
      <c r="D21" s="14">
        <f>IFERROR('Historical FS'!J71,0)</f>
        <v>7028</v>
      </c>
      <c r="E21" s="14">
        <f>IFERROR('Historical FS'!K71,0)</f>
        <v>7459</v>
      </c>
      <c r="F21" s="14">
        <f>IFERROR('Historical FS'!L71,0)</f>
        <v>8280</v>
      </c>
      <c r="G21" s="101">
        <f>'Income Statement '!G9*Assumptions!C21</f>
        <v>7099.7677016700009</v>
      </c>
      <c r="H21" s="101">
        <f>'Income Statement '!H9*Assumptions!D21</f>
        <v>7703.2479563119505</v>
      </c>
      <c r="I21" s="101">
        <f>'Income Statement '!I9*Assumptions!E21</f>
        <v>8358.0240325984651</v>
      </c>
    </row>
    <row r="22" spans="1:14" x14ac:dyDescent="0.25">
      <c r="B22" t="s">
        <v>47</v>
      </c>
      <c r="C22" s="14">
        <f>IFERROR('Historical FS'!I70,0)</f>
        <v>11596</v>
      </c>
      <c r="D22" s="14">
        <f>IFERROR('Historical FS'!J70,0)</f>
        <v>16855</v>
      </c>
      <c r="E22" s="14">
        <f>IFERROR('Historical FS'!K70,0)</f>
        <v>18590</v>
      </c>
      <c r="F22" s="14">
        <f>IFERROR('Historical FS'!L70,0)</f>
        <v>20331</v>
      </c>
      <c r="G22" s="101">
        <f>'Income Statement '!G9*Assumptions!C22</f>
        <v>14199.535403340002</v>
      </c>
      <c r="H22" s="101">
        <f>'Income Statement '!H9*Assumptions!D22</f>
        <v>15406.495912623901</v>
      </c>
      <c r="I22" s="101">
        <f>'Income Statement '!I9*Assumptions!E22</f>
        <v>16716.04806519693</v>
      </c>
    </row>
    <row r="23" spans="1:14" x14ac:dyDescent="0.25">
      <c r="B23" t="s">
        <v>48</v>
      </c>
      <c r="C23" s="14">
        <f>IFERROR('Historical FS'!I72,0)</f>
        <v>11118</v>
      </c>
      <c r="D23" s="14">
        <f>IFERROR('Historical FS'!J72,0)</f>
        <v>11273</v>
      </c>
      <c r="E23" s="14">
        <f>IFERROR('Historical FS'!K72,0)</f>
        <v>12013</v>
      </c>
      <c r="F23" s="14">
        <f>IFERROR('Historical FS'!L72,0)</f>
        <v>20615</v>
      </c>
      <c r="G23" s="101">
        <f>F23+'Cash Flow Statement'!C24</f>
        <v>31659.691205255011</v>
      </c>
      <c r="H23" s="101">
        <f>G23+'Cash Flow Statement'!D24</f>
        <v>28678.730330041693</v>
      </c>
      <c r="I23" s="101">
        <f>H23+'Cash Flow Statement'!E24</f>
        <v>25337.712379334233</v>
      </c>
      <c r="J23" s="55"/>
    </row>
    <row r="24" spans="1:14" x14ac:dyDescent="0.25">
      <c r="B24" t="s">
        <v>160</v>
      </c>
      <c r="C24" s="14">
        <f>IFERROR(SUM('Historical FS'!I73,'Historical FS'!I74),0)</f>
        <v>80519</v>
      </c>
      <c r="D24" s="14">
        <f>IFERROR(SUM('Historical FS'!J73,'Historical FS'!J74),0)</f>
        <v>102746</v>
      </c>
      <c r="E24" s="14">
        <f>IFERROR(SUM('Historical FS'!K73,'Historical FS'!K74),0)</f>
        <v>125282</v>
      </c>
      <c r="F24" s="14">
        <f>IFERROR(SUM('Historical FS'!L73,'Historical FS'!L74),0)</f>
        <v>142545</v>
      </c>
      <c r="G24" s="101">
        <f>F24*(1+'Income Statement '!G7)</f>
        <v>154661.32499999998</v>
      </c>
      <c r="H24" s="101">
        <f>G24*(1+'Income Statement '!H7)</f>
        <v>167807.53762499997</v>
      </c>
      <c r="I24" s="101">
        <f>H24*(1+'Income Statement '!I7)</f>
        <v>182071.17832312497</v>
      </c>
      <c r="J24" s="95"/>
      <c r="K24" s="95"/>
      <c r="L24" s="95"/>
    </row>
    <row r="25" spans="1:14" x14ac:dyDescent="0.25">
      <c r="B25" s="98" t="s">
        <v>49</v>
      </c>
      <c r="C25" s="107">
        <f>IFERROR(SUM(C21:C24),0)</f>
        <v>109607</v>
      </c>
      <c r="D25" s="107">
        <f>IFERROR(SUM(D21:D24),0)</f>
        <v>137902</v>
      </c>
      <c r="E25" s="107">
        <f>IFERROR(SUM(E21:E24),0)</f>
        <v>163344</v>
      </c>
      <c r="F25" s="107">
        <f>IFERROR(SUM(F21:F24),0)</f>
        <v>191771</v>
      </c>
      <c r="G25" s="103">
        <f t="shared" ref="G25:H25" si="10">IFERROR(SUM(G21:G24),0)</f>
        <v>207620.31931026501</v>
      </c>
      <c r="H25" s="103">
        <f t="shared" si="10"/>
        <v>219596.01182397752</v>
      </c>
      <c r="I25" s="103">
        <f t="shared" ref="I25" si="11">IFERROR(SUM(I21:I24),0)</f>
        <v>232482.96280025461</v>
      </c>
    </row>
    <row r="26" spans="1:14" x14ac:dyDescent="0.25">
      <c r="B26" s="100" t="s">
        <v>50</v>
      </c>
      <c r="C26" s="104">
        <f t="shared" ref="C26:I26" si="12">IFERROR(SUM(C25,C19),0)</f>
        <v>172388</v>
      </c>
      <c r="D26" s="104">
        <f t="shared" si="12"/>
        <v>204283</v>
      </c>
      <c r="E26" s="104">
        <f t="shared" si="12"/>
        <v>234720</v>
      </c>
      <c r="F26" s="104">
        <f t="shared" si="12"/>
        <v>276015</v>
      </c>
      <c r="G26" s="105">
        <f t="shared" si="12"/>
        <v>289094.11898066499</v>
      </c>
      <c r="H26" s="105">
        <f t="shared" si="12"/>
        <v>307067.47413676151</v>
      </c>
      <c r="I26" s="105">
        <f t="shared" si="12"/>
        <v>326461.88908002526</v>
      </c>
    </row>
    <row r="28" spans="1:14" x14ac:dyDescent="0.25">
      <c r="A28" t="s">
        <v>1</v>
      </c>
      <c r="B28" s="40" t="s">
        <v>51</v>
      </c>
      <c r="C28" s="40" t="b">
        <f t="shared" ref="C28:I28" si="13">C26=C14</f>
        <v>1</v>
      </c>
      <c r="D28" s="40" t="b">
        <f t="shared" si="13"/>
        <v>1</v>
      </c>
      <c r="E28" s="40" t="b">
        <f t="shared" si="13"/>
        <v>1</v>
      </c>
      <c r="F28" s="40" t="b">
        <f t="shared" si="13"/>
        <v>1</v>
      </c>
      <c r="G28" s="40" t="b">
        <f t="shared" si="13"/>
        <v>1</v>
      </c>
      <c r="H28" s="40" t="b">
        <f t="shared" si="13"/>
        <v>1</v>
      </c>
      <c r="I28" s="40" t="b">
        <f t="shared" si="13"/>
        <v>1</v>
      </c>
    </row>
    <row r="30" spans="1:14" x14ac:dyDescent="0.25">
      <c r="C30" s="10"/>
      <c r="D30" s="10"/>
      <c r="E30" s="10"/>
      <c r="F30" s="10"/>
    </row>
  </sheetData>
  <mergeCells count="1">
    <mergeCell ref="B1:I2"/>
  </mergeCells>
  <pageMargins left="0.7" right="0.7" top="0.75" bottom="0.75" header="0.3" footer="0.3"/>
  <ignoredErrors>
    <ignoredError sqref="C11:F11" formulaRange="1"/>
    <ignoredError sqref="G12:I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F734-DB3D-4AB8-B805-238058DE8A14}">
  <sheetPr>
    <tabColor theme="8" tint="0.59999389629810485"/>
  </sheetPr>
  <dimension ref="A1:Y59"/>
  <sheetViews>
    <sheetView showGridLines="0" zoomScaleNormal="100" workbookViewId="0">
      <pane ySplit="5" topLeftCell="A6" activePane="bottomLeft" state="frozen"/>
      <selection pane="bottomLeft" activeCell="H16" sqref="H16"/>
    </sheetView>
  </sheetViews>
  <sheetFormatPr defaultRowHeight="15" x14ac:dyDescent="0.25"/>
  <cols>
    <col min="1" max="1" width="1.85546875" customWidth="1"/>
    <col min="2" max="2" width="28.42578125" bestFit="1" customWidth="1"/>
    <col min="3" max="5" width="10.85546875" bestFit="1" customWidth="1"/>
    <col min="6" max="20" width="8.7109375" customWidth="1"/>
    <col min="21" max="21" width="9.85546875" bestFit="1" customWidth="1"/>
    <col min="22" max="22" width="9.7109375" bestFit="1" customWidth="1"/>
  </cols>
  <sheetData>
    <row r="1" spans="1:25" ht="13.5" customHeight="1" x14ac:dyDescent="0.4">
      <c r="B1" s="160" t="s">
        <v>210</v>
      </c>
      <c r="C1" s="160"/>
      <c r="D1" s="160"/>
      <c r="E1" s="160"/>
      <c r="F1" s="49"/>
      <c r="G1" s="49"/>
      <c r="H1" s="49"/>
      <c r="I1" s="49"/>
    </row>
    <row r="2" spans="1:25" ht="15.75" customHeight="1" x14ac:dyDescent="0.4">
      <c r="B2" s="160"/>
      <c r="C2" s="160"/>
      <c r="D2" s="160"/>
      <c r="E2" s="160"/>
      <c r="F2" s="49"/>
      <c r="G2" s="49"/>
      <c r="H2" s="49"/>
      <c r="I2" s="49"/>
    </row>
    <row r="3" spans="1:25" ht="4.5" customHeight="1" x14ac:dyDescent="0.25">
      <c r="B3" s="146"/>
    </row>
    <row r="4" spans="1:25" x14ac:dyDescent="0.25">
      <c r="A4" t="s">
        <v>1</v>
      </c>
      <c r="B4" s="25" t="s">
        <v>52</v>
      </c>
      <c r="C4" s="88">
        <v>2026</v>
      </c>
      <c r="D4" s="88">
        <v>2027</v>
      </c>
      <c r="E4" s="88">
        <v>2028</v>
      </c>
      <c r="K4" s="9"/>
      <c r="L4" s="99"/>
      <c r="M4" s="99"/>
      <c r="N4" s="99"/>
      <c r="O4" s="99"/>
      <c r="P4" s="99"/>
      <c r="Q4" s="99"/>
      <c r="R4" s="99"/>
      <c r="S4" s="99"/>
      <c r="T4" s="99"/>
      <c r="U4" s="99"/>
      <c r="V4" s="9"/>
      <c r="W4" s="9"/>
      <c r="X4" s="9"/>
    </row>
    <row r="5" spans="1:25" ht="4.5" customHeight="1" x14ac:dyDescent="0.25">
      <c r="B5" s="9"/>
      <c r="C5" s="123"/>
      <c r="D5" s="123"/>
      <c r="E5" s="123"/>
      <c r="K5" s="9"/>
      <c r="L5" s="99"/>
      <c r="M5" s="99"/>
      <c r="N5" s="99"/>
      <c r="O5" s="99"/>
      <c r="P5" s="99"/>
      <c r="Q5" s="99"/>
      <c r="R5" s="99"/>
      <c r="S5" s="99"/>
      <c r="T5" s="99"/>
      <c r="U5" s="99"/>
      <c r="V5" s="9"/>
      <c r="W5" s="9"/>
      <c r="X5" s="9"/>
    </row>
    <row r="6" spans="1:25" x14ac:dyDescent="0.25">
      <c r="B6" s="27" t="s">
        <v>53</v>
      </c>
      <c r="C6" s="28"/>
      <c r="D6" s="28"/>
      <c r="E6" s="28"/>
      <c r="K6" s="9"/>
    </row>
    <row r="7" spans="1:25" x14ac:dyDescent="0.25">
      <c r="B7" t="s">
        <v>108</v>
      </c>
      <c r="C7" s="101">
        <f>'Income Statement '!G34</f>
        <v>17653.69194629999</v>
      </c>
      <c r="D7" s="101">
        <f>'Income Statement '!H34</f>
        <v>19037.567618860492</v>
      </c>
      <c r="E7" s="101">
        <f>'Income Statement '!I34</f>
        <v>20546.726615087391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 spans="1:25" x14ac:dyDescent="0.25">
      <c r="B8" t="s">
        <v>13</v>
      </c>
      <c r="C8" s="101">
        <f>'Income Statement '!G19</f>
        <v>6564.2621085999999</v>
      </c>
      <c r="D8" s="101">
        <f>'Income Statement '!H19</f>
        <v>7122.2243878310001</v>
      </c>
      <c r="E8" s="101">
        <f>'Income Statement '!I19</f>
        <v>7727.6134607966351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5" x14ac:dyDescent="0.25">
      <c r="B9" t="s">
        <v>181</v>
      </c>
      <c r="C9" s="101">
        <f>-('Balance Sheet'!G21-'Balance Sheet'!F21)</f>
        <v>1180.2322983299991</v>
      </c>
      <c r="D9" s="101">
        <f>-('Balance Sheet'!H21-'Balance Sheet'!G21)</f>
        <v>-603.48025464194961</v>
      </c>
      <c r="E9" s="101">
        <f>-('Balance Sheet'!I21-'Balance Sheet'!H21)</f>
        <v>-654.77607628651458</v>
      </c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 spans="1:25" x14ac:dyDescent="0.25">
      <c r="B10" t="s">
        <v>182</v>
      </c>
      <c r="C10" s="101">
        <f>('Balance Sheet'!G12-'Balance Sheet'!F12)</f>
        <v>-1272.634576374996</v>
      </c>
      <c r="D10" s="101">
        <f>('Balance Sheet'!H12-'Balance Sheet'!G12)</f>
        <v>2514.5010610081226</v>
      </c>
      <c r="E10" s="101">
        <f>('Balance Sheet'!I12-'Balance Sheet'!H12)</f>
        <v>2728.2336511938156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 spans="1:25" x14ac:dyDescent="0.25">
      <c r="B11" t="s">
        <v>99</v>
      </c>
      <c r="C11" s="101">
        <f>-('Balance Sheet'!G22-'Balance Sheet'!F22)</f>
        <v>6131.4645966599983</v>
      </c>
      <c r="D11" s="101">
        <f>-('Balance Sheet'!H22-'Balance Sheet'!G22)</f>
        <v>-1206.9605092838992</v>
      </c>
      <c r="E11" s="101">
        <f>-('Balance Sheet'!I22-'Balance Sheet'!H22)</f>
        <v>-1309.5521525730292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spans="1:25" x14ac:dyDescent="0.25">
      <c r="B12" s="15" t="s">
        <v>54</v>
      </c>
      <c r="C12" s="105">
        <f>SUM(C7:C11)</f>
        <v>30257.016373514991</v>
      </c>
      <c r="D12" s="105">
        <f t="shared" ref="D12:E12" si="0">SUM(D7:D11)</f>
        <v>26863.852303773769</v>
      </c>
      <c r="E12" s="105">
        <f t="shared" si="0"/>
        <v>29038.245498218297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</row>
    <row r="13" spans="1:25" x14ac:dyDescent="0.25">
      <c r="C13" s="101"/>
      <c r="D13" s="101"/>
      <c r="E13" s="101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spans="1:25" x14ac:dyDescent="0.25">
      <c r="B14" s="27" t="s">
        <v>55</v>
      </c>
      <c r="C14" s="30"/>
      <c r="D14" s="30"/>
      <c r="E14" s="30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spans="1:25" x14ac:dyDescent="0.25">
      <c r="B15" t="s">
        <v>183</v>
      </c>
      <c r="C15" s="101">
        <f>-Assumptions!C28</f>
        <v>-3794.0617790000015</v>
      </c>
      <c r="D15" s="101">
        <f>-Assumptions!D28</f>
        <v>-13119.887030215001</v>
      </c>
      <c r="E15" s="101">
        <f>-Assumptions!E28</f>
        <v>-14235.077427783277</v>
      </c>
    </row>
    <row r="16" spans="1:25" x14ac:dyDescent="0.25">
      <c r="B16" s="9" t="s">
        <v>187</v>
      </c>
      <c r="C16" s="101">
        <f>-('Balance Sheet'!G24-'Balance Sheet'!F24)</f>
        <v>-12116.324999999983</v>
      </c>
      <c r="D16" s="101">
        <f>-('Balance Sheet'!H24-'Balance Sheet'!G24)</f>
        <v>-13146.212624999986</v>
      </c>
      <c r="E16" s="101">
        <f>-('Balance Sheet'!I24-'Balance Sheet'!H24)</f>
        <v>-14263.640698125004</v>
      </c>
      <c r="K16" s="9"/>
    </row>
    <row r="17" spans="1:21" x14ac:dyDescent="0.25">
      <c r="B17" s="15" t="s">
        <v>68</v>
      </c>
      <c r="C17" s="105">
        <f>SUM(C15:C16)</f>
        <v>-15910.386778999984</v>
      </c>
      <c r="D17" s="105">
        <f t="shared" ref="D17:E17" si="1">SUM(D15:D16)</f>
        <v>-26266.099655214988</v>
      </c>
      <c r="E17" s="105">
        <f t="shared" si="1"/>
        <v>-28498.718125908279</v>
      </c>
      <c r="G17" s="14"/>
      <c r="L17" s="55"/>
      <c r="M17" s="55"/>
      <c r="N17" s="55"/>
      <c r="O17" s="55"/>
      <c r="P17" s="55"/>
      <c r="Q17" s="55"/>
      <c r="R17" s="55"/>
      <c r="S17" s="55"/>
      <c r="T17" s="55"/>
      <c r="U17" s="55"/>
    </row>
    <row r="18" spans="1:21" x14ac:dyDescent="0.25">
      <c r="C18" s="101"/>
      <c r="D18" s="101"/>
      <c r="E18" s="101"/>
      <c r="L18" s="55"/>
      <c r="M18" s="55"/>
      <c r="N18" s="55"/>
      <c r="O18" s="55"/>
      <c r="P18" s="55"/>
      <c r="Q18" s="55"/>
      <c r="R18" s="55"/>
      <c r="S18" s="55"/>
      <c r="T18" s="55"/>
      <c r="U18" s="55"/>
    </row>
    <row r="19" spans="1:21" x14ac:dyDescent="0.25">
      <c r="B19" s="27" t="s">
        <v>69</v>
      </c>
      <c r="C19" s="30"/>
      <c r="D19" s="30"/>
      <c r="E19" s="30"/>
      <c r="L19" s="55"/>
      <c r="M19" s="55"/>
      <c r="N19" s="55"/>
      <c r="O19" s="55"/>
      <c r="P19" s="55"/>
      <c r="Q19" s="55"/>
      <c r="R19" s="55"/>
      <c r="S19" s="55"/>
      <c r="T19" s="55"/>
      <c r="U19" s="55"/>
    </row>
    <row r="20" spans="1:21" x14ac:dyDescent="0.25">
      <c r="B20" t="s">
        <v>184</v>
      </c>
      <c r="C20" s="101">
        <f>-(SUM('Balance Sheet'!G10:G11)-SUM('Balance Sheet'!F10:F11))</f>
        <v>0</v>
      </c>
      <c r="D20" s="101">
        <f>-(SUM('Balance Sheet'!H10:H11)-SUM('Balance Sheet'!G10:G11))</f>
        <v>0</v>
      </c>
      <c r="E20" s="101">
        <f>-(SUM('Balance Sheet'!I10:I11)-SUM('Balance Sheet'!H10:H11))</f>
        <v>0</v>
      </c>
      <c r="L20" s="55"/>
      <c r="M20" s="55"/>
      <c r="N20" s="55"/>
      <c r="O20" s="55"/>
      <c r="P20" s="55"/>
      <c r="Q20" s="55"/>
      <c r="R20" s="55"/>
      <c r="S20" s="55"/>
      <c r="T20" s="55"/>
      <c r="U20" s="55"/>
    </row>
    <row r="21" spans="1:21" x14ac:dyDescent="0.25">
      <c r="B21" t="s">
        <v>74</v>
      </c>
      <c r="C21" s="101">
        <f>-'Income Statement '!G41</f>
        <v>-3301.9383892599981</v>
      </c>
      <c r="D21" s="101">
        <f>-'Income Statement '!H41</f>
        <v>-3578.7135237720986</v>
      </c>
      <c r="E21" s="101">
        <f>-'Income Statement '!I41</f>
        <v>-3880.5453230174785</v>
      </c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2" spans="1:21" x14ac:dyDescent="0.25">
      <c r="B22" s="18" t="s">
        <v>77</v>
      </c>
      <c r="C22" s="103">
        <f>SUM(C20:C21)</f>
        <v>-3301.9383892599981</v>
      </c>
      <c r="D22" s="103">
        <f t="shared" ref="D22:E22" si="2">SUM(D20:D21)</f>
        <v>-3578.7135237720986</v>
      </c>
      <c r="E22" s="103">
        <f t="shared" si="2"/>
        <v>-3880.5453230174785</v>
      </c>
      <c r="L22" s="55"/>
      <c r="M22" s="55"/>
      <c r="N22" s="55"/>
      <c r="O22" s="55"/>
      <c r="P22" s="55"/>
      <c r="Q22" s="55"/>
      <c r="R22" s="55"/>
      <c r="S22" s="55"/>
      <c r="T22" s="55"/>
      <c r="U22" s="55"/>
    </row>
    <row r="23" spans="1:21" x14ac:dyDescent="0.25">
      <c r="B23" s="9"/>
      <c r="C23" s="101"/>
      <c r="D23" s="101"/>
      <c r="E23" s="101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 spans="1:21" x14ac:dyDescent="0.25">
      <c r="A24" t="s">
        <v>1</v>
      </c>
      <c r="B24" s="26" t="s">
        <v>78</v>
      </c>
      <c r="C24" s="115">
        <f>SUM(C12,C17,C22)</f>
        <v>11044.691205255009</v>
      </c>
      <c r="D24" s="115">
        <f>SUM(D12,D17,D22)</f>
        <v>-2980.9608752133181</v>
      </c>
      <c r="E24" s="115">
        <f>SUM(E12,E17,E22)</f>
        <v>-3341.0179507074604</v>
      </c>
      <c r="F24" s="10"/>
      <c r="L24" s="55"/>
      <c r="M24" s="55"/>
      <c r="N24" s="55"/>
      <c r="O24" s="55"/>
      <c r="P24" s="55"/>
      <c r="Q24" s="55"/>
      <c r="R24" s="55"/>
      <c r="S24" s="55"/>
      <c r="T24" s="55"/>
      <c r="U24" s="55"/>
    </row>
    <row r="25" spans="1:21" x14ac:dyDescent="0.25">
      <c r="C25" s="10"/>
      <c r="D25" s="10"/>
      <c r="E25" s="10"/>
      <c r="F25" s="10"/>
      <c r="L25" s="55"/>
      <c r="M25" s="55"/>
      <c r="N25" s="55"/>
      <c r="O25" s="55"/>
      <c r="P25" s="55"/>
      <c r="Q25" s="55"/>
      <c r="R25" s="55"/>
      <c r="S25" s="55"/>
      <c r="T25" s="55"/>
      <c r="U25" s="55"/>
    </row>
    <row r="26" spans="1:21" x14ac:dyDescent="0.25">
      <c r="C26" s="10"/>
      <c r="D26" s="10"/>
      <c r="E26" s="10"/>
      <c r="F26" s="10"/>
      <c r="L26" s="55"/>
      <c r="M26" s="55"/>
      <c r="N26" s="55"/>
      <c r="O26" s="55"/>
      <c r="P26" s="55"/>
      <c r="Q26" s="55"/>
      <c r="R26" s="55"/>
      <c r="S26" s="55"/>
      <c r="T26" s="55"/>
      <c r="U26" s="55"/>
    </row>
    <row r="27" spans="1:21" x14ac:dyDescent="0.25">
      <c r="C27" s="10"/>
      <c r="D27" s="10"/>
      <c r="E27" s="10"/>
      <c r="F27" s="10"/>
      <c r="L27" s="55"/>
      <c r="M27" s="55"/>
      <c r="N27" s="55"/>
      <c r="O27" s="55"/>
      <c r="P27" s="55"/>
      <c r="Q27" s="55"/>
      <c r="R27" s="55"/>
      <c r="S27" s="55"/>
      <c r="T27" s="55"/>
      <c r="U27" s="55"/>
    </row>
    <row r="28" spans="1:21" x14ac:dyDescent="0.25">
      <c r="C28" s="10"/>
      <c r="D28" s="10"/>
      <c r="E28" s="10"/>
      <c r="F28" s="10"/>
      <c r="L28" s="55"/>
      <c r="M28" s="55"/>
      <c r="N28" s="55"/>
      <c r="O28" s="55"/>
      <c r="P28" s="55"/>
      <c r="Q28" s="55"/>
      <c r="R28" s="55"/>
      <c r="S28" s="55"/>
      <c r="T28" s="55"/>
      <c r="U28" s="55"/>
    </row>
    <row r="29" spans="1:21" x14ac:dyDescent="0.25">
      <c r="C29" s="10"/>
      <c r="D29" s="10"/>
      <c r="E29" s="10"/>
      <c r="F29" s="10"/>
      <c r="L29" s="55"/>
      <c r="M29" s="55"/>
      <c r="N29" s="55"/>
      <c r="O29" s="55"/>
      <c r="P29" s="55"/>
      <c r="Q29" s="55"/>
      <c r="R29" s="55"/>
      <c r="S29" s="55"/>
      <c r="T29" s="55"/>
      <c r="U29" s="55"/>
    </row>
    <row r="30" spans="1:21" x14ac:dyDescent="0.25">
      <c r="C30" s="10"/>
      <c r="D30" s="10"/>
      <c r="E30" s="10"/>
      <c r="F30" s="10"/>
    </row>
    <row r="31" spans="1:21" x14ac:dyDescent="0.25">
      <c r="C31" s="10"/>
      <c r="D31" s="10"/>
      <c r="E31" s="10"/>
      <c r="F31" s="10"/>
      <c r="K31" s="9"/>
    </row>
    <row r="32" spans="1:21" x14ac:dyDescent="0.25">
      <c r="B32" s="9"/>
      <c r="C32" s="13"/>
      <c r="D32" s="13"/>
      <c r="E32" s="13"/>
      <c r="F32" s="13"/>
      <c r="L32" s="55"/>
      <c r="M32" s="55"/>
      <c r="N32" s="55"/>
      <c r="O32" s="55"/>
      <c r="P32" s="55"/>
      <c r="Q32" s="55"/>
      <c r="R32" s="55"/>
      <c r="S32" s="55"/>
      <c r="T32" s="55"/>
      <c r="U32" s="55"/>
    </row>
    <row r="33" spans="2:21" x14ac:dyDescent="0.25">
      <c r="L33" s="55"/>
      <c r="M33" s="55"/>
      <c r="N33" s="55"/>
      <c r="O33" s="55"/>
      <c r="P33" s="55"/>
      <c r="Q33" s="55"/>
      <c r="R33" s="55"/>
      <c r="S33" s="55"/>
      <c r="T33" s="55"/>
      <c r="U33" s="55"/>
    </row>
    <row r="34" spans="2:21" x14ac:dyDescent="0.25">
      <c r="B34" s="9"/>
      <c r="L34" s="55"/>
      <c r="M34" s="55"/>
      <c r="N34" s="55"/>
      <c r="O34" s="55"/>
      <c r="P34" s="55"/>
      <c r="Q34" s="55"/>
      <c r="R34" s="55"/>
      <c r="S34" s="55"/>
      <c r="T34" s="55"/>
      <c r="U34" s="55"/>
    </row>
    <row r="35" spans="2:21" x14ac:dyDescent="0.25">
      <c r="C35" s="10"/>
      <c r="D35" s="10"/>
      <c r="E35" s="10"/>
      <c r="F35" s="10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 spans="2:21" x14ac:dyDescent="0.25">
      <c r="C36" s="10"/>
      <c r="D36" s="10"/>
      <c r="E36" s="10"/>
      <c r="F36" s="10"/>
      <c r="L36" s="55"/>
      <c r="M36" s="55"/>
      <c r="N36" s="55"/>
      <c r="O36" s="55"/>
      <c r="P36" s="55"/>
      <c r="Q36" s="55"/>
      <c r="R36" s="55"/>
      <c r="S36" s="55"/>
      <c r="T36" s="55"/>
      <c r="U36" s="55"/>
    </row>
    <row r="37" spans="2:21" x14ac:dyDescent="0.25">
      <c r="C37" s="10"/>
      <c r="D37" s="10"/>
      <c r="E37" s="10"/>
      <c r="F37" s="10"/>
      <c r="L37" s="55"/>
      <c r="M37" s="55"/>
      <c r="N37" s="55"/>
      <c r="O37" s="55"/>
      <c r="P37" s="55"/>
      <c r="Q37" s="55"/>
      <c r="R37" s="55"/>
      <c r="S37" s="55"/>
      <c r="T37" s="55"/>
      <c r="U37" s="55"/>
    </row>
    <row r="38" spans="2:21" x14ac:dyDescent="0.25">
      <c r="C38" s="10"/>
      <c r="D38" s="10"/>
      <c r="E38" s="10"/>
      <c r="F38" s="10"/>
      <c r="L38" s="55"/>
      <c r="M38" s="55"/>
      <c r="N38" s="55"/>
      <c r="O38" s="55"/>
      <c r="P38" s="55"/>
      <c r="Q38" s="55"/>
      <c r="R38" s="55"/>
      <c r="S38" s="55"/>
      <c r="T38" s="55"/>
      <c r="U38" s="55"/>
    </row>
    <row r="39" spans="2:21" x14ac:dyDescent="0.25">
      <c r="C39" s="10"/>
      <c r="D39" s="10"/>
      <c r="E39" s="10"/>
      <c r="F39" s="10"/>
      <c r="L39" s="55"/>
      <c r="M39" s="55"/>
      <c r="N39" s="55"/>
      <c r="O39" s="55"/>
      <c r="P39" s="55"/>
      <c r="Q39" s="55"/>
      <c r="R39" s="55"/>
      <c r="S39" s="55"/>
      <c r="T39" s="55"/>
      <c r="U39" s="55"/>
    </row>
    <row r="40" spans="2:21" x14ac:dyDescent="0.25">
      <c r="C40" s="10"/>
      <c r="D40" s="10"/>
      <c r="E40" s="10"/>
      <c r="F40" s="10"/>
    </row>
    <row r="41" spans="2:21" x14ac:dyDescent="0.25">
      <c r="C41" s="10"/>
      <c r="D41" s="10"/>
      <c r="E41" s="10"/>
      <c r="F41" s="10"/>
      <c r="K41" s="9"/>
      <c r="L41" s="64"/>
      <c r="M41" s="64"/>
      <c r="N41" s="64"/>
      <c r="O41" s="64"/>
      <c r="P41" s="64"/>
      <c r="Q41" s="64"/>
      <c r="R41" s="64"/>
      <c r="S41" s="64"/>
      <c r="T41" s="64"/>
      <c r="U41" s="64"/>
    </row>
    <row r="42" spans="2:21" x14ac:dyDescent="0.25">
      <c r="C42" s="10"/>
      <c r="D42" s="10"/>
      <c r="E42" s="10"/>
      <c r="F42" s="10"/>
    </row>
    <row r="43" spans="2:21" x14ac:dyDescent="0.25">
      <c r="C43" s="10"/>
      <c r="D43" s="10"/>
      <c r="E43" s="10"/>
      <c r="F43" s="10"/>
    </row>
    <row r="44" spans="2:21" x14ac:dyDescent="0.25">
      <c r="C44" s="10"/>
      <c r="D44" s="10"/>
      <c r="E44" s="10"/>
      <c r="F44" s="10"/>
    </row>
    <row r="45" spans="2:21" x14ac:dyDescent="0.25">
      <c r="C45" s="10"/>
      <c r="D45" s="10"/>
      <c r="E45" s="10"/>
      <c r="F45" s="10"/>
    </row>
    <row r="46" spans="2:21" x14ac:dyDescent="0.25">
      <c r="C46" s="10"/>
      <c r="D46" s="10"/>
      <c r="E46" s="10"/>
      <c r="F46" s="10"/>
    </row>
    <row r="47" spans="2:21" x14ac:dyDescent="0.25">
      <c r="B47" s="9"/>
      <c r="C47" s="13"/>
      <c r="D47" s="13"/>
      <c r="E47" s="13"/>
      <c r="F47" s="13"/>
    </row>
    <row r="49" spans="2:6" x14ac:dyDescent="0.25">
      <c r="B49" s="9"/>
    </row>
    <row r="51" spans="2:6" x14ac:dyDescent="0.25">
      <c r="C51" s="10"/>
      <c r="D51" s="10"/>
      <c r="E51" s="10"/>
      <c r="F51" s="10"/>
    </row>
    <row r="52" spans="2:6" x14ac:dyDescent="0.25">
      <c r="C52" s="10"/>
      <c r="D52" s="10"/>
      <c r="E52" s="10"/>
      <c r="F52" s="10"/>
    </row>
    <row r="53" spans="2:6" x14ac:dyDescent="0.25">
      <c r="C53" s="10"/>
      <c r="D53" s="10"/>
      <c r="E53" s="10"/>
      <c r="F53" s="10"/>
    </row>
    <row r="54" spans="2:6" x14ac:dyDescent="0.25">
      <c r="C54" s="10"/>
      <c r="D54" s="10"/>
      <c r="E54" s="10"/>
      <c r="F54" s="10"/>
    </row>
    <row r="55" spans="2:6" x14ac:dyDescent="0.25">
      <c r="C55" s="10"/>
      <c r="D55" s="10"/>
      <c r="E55" s="10"/>
      <c r="F55" s="10"/>
    </row>
    <row r="56" spans="2:6" x14ac:dyDescent="0.25">
      <c r="C56" s="10"/>
      <c r="D56" s="10"/>
      <c r="E56" s="10"/>
      <c r="F56" s="10"/>
    </row>
    <row r="57" spans="2:6" x14ac:dyDescent="0.25">
      <c r="B57" s="9"/>
      <c r="C57" s="13"/>
      <c r="D57" s="13"/>
      <c r="E57" s="13"/>
      <c r="F57" s="13"/>
    </row>
    <row r="59" spans="2:6" x14ac:dyDescent="0.25">
      <c r="B59" s="9"/>
      <c r="C59" s="13"/>
      <c r="D59" s="13"/>
      <c r="E59" s="13"/>
      <c r="F59" s="13"/>
    </row>
  </sheetData>
  <mergeCells count="1">
    <mergeCell ref="B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564E-C4B6-4588-A019-860E77220C3F}">
  <sheetPr>
    <tabColor theme="5" tint="0.59999389629810485"/>
  </sheetPr>
  <dimension ref="A1:J24"/>
  <sheetViews>
    <sheetView showGridLines="0" zoomScale="90" zoomScaleNormal="90" workbookViewId="0">
      <selection activeCell="K15" sqref="K15"/>
    </sheetView>
  </sheetViews>
  <sheetFormatPr defaultRowHeight="15" x14ac:dyDescent="0.25"/>
  <cols>
    <col min="1" max="1" width="1.85546875" customWidth="1"/>
    <col min="2" max="2" width="17" customWidth="1"/>
    <col min="3" max="3" width="11.7109375" bestFit="1" customWidth="1"/>
    <col min="4" max="4" width="14.7109375" customWidth="1"/>
    <col min="5" max="5" width="14.42578125" customWidth="1"/>
    <col min="6" max="15" width="8.7109375" customWidth="1"/>
  </cols>
  <sheetData>
    <row r="1" spans="1:10" ht="9.75" customHeight="1" x14ac:dyDescent="0.25">
      <c r="B1" s="166" t="str">
        <f>"Sales Forecasting - "&amp;'Raw Data'!B1</f>
        <v>Sales Forecasting - MAHINDRA &amp; MAHINDRA LTD</v>
      </c>
      <c r="C1" s="166"/>
      <c r="D1" s="166"/>
      <c r="E1" s="166"/>
    </row>
    <row r="2" spans="1:10" x14ac:dyDescent="0.25">
      <c r="B2" s="166"/>
      <c r="C2" s="166"/>
      <c r="D2" s="166"/>
      <c r="E2" s="166"/>
    </row>
    <row r="3" spans="1:10" ht="4.5" customHeight="1" x14ac:dyDescent="0.25">
      <c r="B3" s="68"/>
      <c r="C3" s="68"/>
      <c r="D3" s="68"/>
      <c r="E3" s="68"/>
    </row>
    <row r="4" spans="1:10" x14ac:dyDescent="0.25">
      <c r="A4" t="s">
        <v>1</v>
      </c>
      <c r="B4" s="20" t="s">
        <v>212</v>
      </c>
      <c r="C4" s="149" t="s">
        <v>83</v>
      </c>
      <c r="D4" s="149" t="s">
        <v>3</v>
      </c>
      <c r="E4" s="149" t="s">
        <v>4</v>
      </c>
      <c r="G4" s="78"/>
      <c r="H4" s="78"/>
      <c r="I4" s="78"/>
      <c r="J4" s="78"/>
    </row>
    <row r="5" spans="1:10" ht="4.5" customHeight="1" x14ac:dyDescent="0.25">
      <c r="B5" s="155"/>
      <c r="C5" s="156"/>
      <c r="D5" s="156"/>
      <c r="E5" s="156"/>
      <c r="G5" s="78"/>
      <c r="H5" s="78"/>
      <c r="I5" s="78"/>
      <c r="J5" s="78"/>
    </row>
    <row r="6" spans="1:10" x14ac:dyDescent="0.25">
      <c r="B6" s="19">
        <v>1</v>
      </c>
      <c r="C6" s="116">
        <v>2016</v>
      </c>
      <c r="D6" s="117">
        <v>57589</v>
      </c>
      <c r="E6">
        <f ca="1">-E6</f>
        <v>0</v>
      </c>
    </row>
    <row r="7" spans="1:10" x14ac:dyDescent="0.25">
      <c r="B7" s="19">
        <f>B6+1</f>
        <v>2</v>
      </c>
      <c r="C7" s="116">
        <v>2017</v>
      </c>
      <c r="D7" s="117">
        <v>68085</v>
      </c>
      <c r="E7" s="11">
        <f>D7/D6-1</f>
        <v>0.18225702825192314</v>
      </c>
    </row>
    <row r="8" spans="1:10" x14ac:dyDescent="0.25">
      <c r="B8" s="19">
        <f t="shared" ref="B8:B18" si="0">B7+1</f>
        <v>3</v>
      </c>
      <c r="C8" s="116">
        <v>2018</v>
      </c>
      <c r="D8" s="117">
        <v>79809.399999999994</v>
      </c>
      <c r="E8" s="11">
        <f t="shared" ref="E8:E14" si="1">D8/D7-1</f>
        <v>0.17220239406624072</v>
      </c>
      <c r="G8" s="11"/>
    </row>
    <row r="9" spans="1:10" x14ac:dyDescent="0.25">
      <c r="B9" s="19">
        <f t="shared" si="0"/>
        <v>4</v>
      </c>
      <c r="C9" s="116">
        <v>2019</v>
      </c>
      <c r="D9" s="117">
        <v>86068.5</v>
      </c>
      <c r="E9" s="11">
        <f t="shared" si="1"/>
        <v>7.8425598989592782E-2</v>
      </c>
    </row>
    <row r="10" spans="1:10" x14ac:dyDescent="0.25">
      <c r="B10" s="19">
        <f t="shared" si="0"/>
        <v>5</v>
      </c>
      <c r="C10" s="116">
        <v>2020</v>
      </c>
      <c r="D10" s="117">
        <v>75660</v>
      </c>
      <c r="E10" s="11">
        <f t="shared" si="1"/>
        <v>-0.12093274542951249</v>
      </c>
    </row>
    <row r="11" spans="1:10" x14ac:dyDescent="0.25">
      <c r="B11" s="19">
        <f t="shared" si="0"/>
        <v>6</v>
      </c>
      <c r="C11" s="116">
        <v>2021</v>
      </c>
      <c r="D11" s="117">
        <v>70372</v>
      </c>
      <c r="E11" s="11">
        <f t="shared" si="1"/>
        <v>-6.9891620407084298E-2</v>
      </c>
    </row>
    <row r="12" spans="1:10" x14ac:dyDescent="0.25">
      <c r="B12" s="19">
        <f t="shared" si="0"/>
        <v>7</v>
      </c>
      <c r="C12" s="116">
        <v>2022</v>
      </c>
      <c r="D12" s="117">
        <v>88329.8</v>
      </c>
      <c r="E12" s="11">
        <f t="shared" si="1"/>
        <v>0.25518387995225389</v>
      </c>
    </row>
    <row r="13" spans="1:10" x14ac:dyDescent="0.25">
      <c r="B13" s="19">
        <f t="shared" si="0"/>
        <v>8</v>
      </c>
      <c r="C13" s="116">
        <v>2023</v>
      </c>
      <c r="D13" s="117">
        <v>117571.3</v>
      </c>
      <c r="E13" s="11">
        <f t="shared" si="1"/>
        <v>0.3310490910202446</v>
      </c>
    </row>
    <row r="14" spans="1:10" x14ac:dyDescent="0.25">
      <c r="B14" s="19">
        <f t="shared" si="0"/>
        <v>9</v>
      </c>
      <c r="C14" s="116">
        <v>2024</v>
      </c>
      <c r="D14" s="117">
        <v>141858.20000000001</v>
      </c>
      <c r="E14" s="11">
        <f t="shared" si="1"/>
        <v>0.20657167182807368</v>
      </c>
    </row>
    <row r="15" spans="1:10" x14ac:dyDescent="0.25">
      <c r="B15" s="19">
        <f t="shared" si="0"/>
        <v>10</v>
      </c>
      <c r="C15" s="116">
        <v>2025</v>
      </c>
      <c r="D15" s="117">
        <v>152913</v>
      </c>
      <c r="E15" s="11">
        <f t="shared" ref="E15:E18" si="2">D15/D14-1</f>
        <v>7.7928522989858751E-2</v>
      </c>
    </row>
    <row r="16" spans="1:10" x14ac:dyDescent="0.25">
      <c r="B16" s="37">
        <f t="shared" si="0"/>
        <v>11</v>
      </c>
      <c r="C16" s="121">
        <v>2026</v>
      </c>
      <c r="D16" s="118">
        <f>FORECAST(B16,$D$6:$D$15,$B$6:$B$15)</f>
        <v>145980.08000000005</v>
      </c>
      <c r="E16" s="39">
        <f t="shared" si="2"/>
        <v>-4.5338983605056171E-2</v>
      </c>
    </row>
    <row r="17" spans="1:5" x14ac:dyDescent="0.25">
      <c r="B17" s="38">
        <f t="shared" si="0"/>
        <v>12</v>
      </c>
      <c r="C17" s="122">
        <v>2027</v>
      </c>
      <c r="D17" s="119">
        <f>FORECAST(B17,$D$6:$D$15,$B$6:$B$15)</f>
        <v>155462.70909090913</v>
      </c>
      <c r="E17" s="21">
        <f t="shared" si="2"/>
        <v>6.4958377135490686E-2</v>
      </c>
    </row>
    <row r="18" spans="1:5" x14ac:dyDescent="0.25">
      <c r="B18" s="38">
        <f t="shared" si="0"/>
        <v>13</v>
      </c>
      <c r="C18" s="122">
        <v>2028</v>
      </c>
      <c r="D18" s="119">
        <f>FORECAST(B18,$D$6:$D$15,$B$6:$B$15)</f>
        <v>164945.33818181822</v>
      </c>
      <c r="E18" s="21">
        <f t="shared" si="2"/>
        <v>6.0996165230621235E-2</v>
      </c>
    </row>
    <row r="19" spans="1:5" x14ac:dyDescent="0.25">
      <c r="B19" s="19"/>
      <c r="C19" s="36"/>
      <c r="D19" s="10"/>
      <c r="E19" s="47"/>
    </row>
    <row r="20" spans="1:5" ht="15.75" customHeight="1" x14ac:dyDescent="0.25">
      <c r="A20" t="s">
        <v>1</v>
      </c>
      <c r="B20" s="72" t="s">
        <v>164</v>
      </c>
      <c r="C20" s="69"/>
      <c r="D20" s="70"/>
      <c r="E20" s="71"/>
    </row>
    <row r="21" spans="1:5" ht="4.5" customHeight="1" x14ac:dyDescent="0.25">
      <c r="B21" s="73"/>
      <c r="C21" s="74"/>
      <c r="D21" s="75"/>
      <c r="E21" s="76"/>
    </row>
    <row r="22" spans="1:5" x14ac:dyDescent="0.25">
      <c r="B22" s="19" t="s">
        <v>162</v>
      </c>
      <c r="C22" s="54"/>
      <c r="E22" s="120">
        <f>D6</f>
        <v>57589</v>
      </c>
    </row>
    <row r="23" spans="1:5" x14ac:dyDescent="0.25">
      <c r="B23" t="s">
        <v>163</v>
      </c>
      <c r="C23" s="54"/>
      <c r="E23" s="120">
        <f>D15</f>
        <v>152913</v>
      </c>
    </row>
    <row r="24" spans="1:5" x14ac:dyDescent="0.25">
      <c r="B24" s="50" t="s">
        <v>165</v>
      </c>
      <c r="C24" s="50"/>
      <c r="D24" s="50"/>
      <c r="E24" s="77">
        <f>(E23/E22)^(1/10)-1</f>
        <v>0.10258095641394727</v>
      </c>
    </row>
  </sheetData>
  <mergeCells count="1">
    <mergeCell ref="B1:E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EE27-FCB0-432C-9DA7-47D6B1EE7727}">
  <sheetPr>
    <tabColor rgb="FFC00000"/>
  </sheetPr>
  <dimension ref="A2:M115"/>
  <sheetViews>
    <sheetView showGridLines="0" topLeftCell="A30" zoomScaleNormal="100" workbookViewId="0">
      <selection activeCell="B74" sqref="B74"/>
    </sheetView>
  </sheetViews>
  <sheetFormatPr defaultRowHeight="15" x14ac:dyDescent="0.25"/>
  <cols>
    <col min="1" max="1" width="1.85546875" customWidth="1"/>
    <col min="2" max="2" width="39.7109375" customWidth="1"/>
    <col min="3" max="3" width="8.7109375" bestFit="1" customWidth="1"/>
    <col min="4" max="4" width="8.85546875" bestFit="1" customWidth="1"/>
    <col min="5" max="5" width="9.140625" bestFit="1" customWidth="1"/>
    <col min="6" max="6" width="8.85546875" bestFit="1" customWidth="1"/>
    <col min="7" max="7" width="9.140625" bestFit="1" customWidth="1"/>
    <col min="8" max="8" width="10.28515625" bestFit="1" customWidth="1"/>
    <col min="9" max="9" width="9.140625" bestFit="1" customWidth="1"/>
    <col min="10" max="12" width="8.7109375" bestFit="1" customWidth="1"/>
  </cols>
  <sheetData>
    <row r="2" spans="1:13" ht="24.75" customHeight="1" x14ac:dyDescent="0.35">
      <c r="B2" s="167" t="s">
        <v>213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3" spans="1:13" x14ac:dyDescent="0.25">
      <c r="B3" s="22" t="s">
        <v>161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x14ac:dyDescent="0.25">
      <c r="A4" s="22" t="s">
        <v>1</v>
      </c>
      <c r="B4" s="52" t="s">
        <v>2</v>
      </c>
      <c r="C4" s="125">
        <v>2016</v>
      </c>
      <c r="D4" s="125">
        <f>C4+1</f>
        <v>2017</v>
      </c>
      <c r="E4" s="125">
        <f t="shared" ref="E4:L4" si="0">D4+1</f>
        <v>2018</v>
      </c>
      <c r="F4" s="125">
        <f t="shared" si="0"/>
        <v>2019</v>
      </c>
      <c r="G4" s="125">
        <f t="shared" si="0"/>
        <v>2020</v>
      </c>
      <c r="H4" s="125">
        <f t="shared" si="0"/>
        <v>2021</v>
      </c>
      <c r="I4" s="125">
        <f t="shared" si="0"/>
        <v>2022</v>
      </c>
      <c r="J4" s="125">
        <f t="shared" si="0"/>
        <v>2023</v>
      </c>
      <c r="K4" s="125">
        <f t="shared" si="0"/>
        <v>2024</v>
      </c>
      <c r="L4" s="125">
        <f t="shared" si="0"/>
        <v>2025</v>
      </c>
    </row>
    <row r="5" spans="1:13" x14ac:dyDescent="0.25">
      <c r="B5" t="s">
        <v>3</v>
      </c>
      <c r="C5" s="14">
        <v>75841.42</v>
      </c>
      <c r="D5" s="14">
        <v>83773.05</v>
      </c>
      <c r="E5" s="14">
        <v>92093.95</v>
      </c>
      <c r="F5" s="14">
        <v>104720.68</v>
      </c>
      <c r="G5" s="14">
        <v>75381.929999999993</v>
      </c>
      <c r="H5" s="14">
        <v>74277.78</v>
      </c>
      <c r="I5" s="30">
        <v>90170.57</v>
      </c>
      <c r="J5" s="30">
        <v>121268.55</v>
      </c>
      <c r="K5" s="30">
        <v>139078.26999999999</v>
      </c>
      <c r="L5" s="30">
        <v>159210.82</v>
      </c>
    </row>
    <row r="6" spans="1:13" x14ac:dyDescent="0.25">
      <c r="B6" t="s">
        <v>5</v>
      </c>
      <c r="C6" s="14">
        <v>56073.909999999996</v>
      </c>
      <c r="D6" s="14">
        <v>63464.359999999993</v>
      </c>
      <c r="E6" s="14">
        <v>67869.400000000009</v>
      </c>
      <c r="F6" s="14">
        <v>76462.900000000009</v>
      </c>
      <c r="G6" s="14">
        <v>50445.450000000004</v>
      </c>
      <c r="H6" s="14">
        <v>49173.009999999995</v>
      </c>
      <c r="I6" s="30">
        <v>63855.469999999987</v>
      </c>
      <c r="J6" s="30">
        <v>88334.409999999989</v>
      </c>
      <c r="K6" s="30">
        <v>98783.56</v>
      </c>
      <c r="L6" s="30">
        <v>111863.52</v>
      </c>
    </row>
    <row r="7" spans="1:13" x14ac:dyDescent="0.25">
      <c r="B7" s="50" t="s">
        <v>7</v>
      </c>
      <c r="C7" s="127">
        <v>19767.510000000002</v>
      </c>
      <c r="D7" s="127">
        <v>20308.69000000001</v>
      </c>
      <c r="E7" s="127">
        <v>24224.549999999988</v>
      </c>
      <c r="F7" s="127">
        <v>28257.779999999984</v>
      </c>
      <c r="G7" s="127">
        <v>24936.479999999989</v>
      </c>
      <c r="H7" s="127">
        <v>25104.770000000004</v>
      </c>
      <c r="I7" s="131">
        <v>26315.10000000002</v>
      </c>
      <c r="J7" s="131">
        <v>32934.140000000014</v>
      </c>
      <c r="K7" s="131">
        <v>40294.709999999992</v>
      </c>
      <c r="L7" s="131">
        <v>47347.3</v>
      </c>
    </row>
    <row r="8" spans="1:13" x14ac:dyDescent="0.25">
      <c r="I8" s="28"/>
      <c r="J8" s="28"/>
      <c r="K8" s="28"/>
      <c r="L8" s="28"/>
    </row>
    <row r="9" spans="1:13" x14ac:dyDescent="0.25">
      <c r="B9" t="s">
        <v>9</v>
      </c>
      <c r="C9" s="14">
        <v>9685.07</v>
      </c>
      <c r="D9" s="14">
        <v>9573.86</v>
      </c>
      <c r="E9" s="14">
        <v>10998.45</v>
      </c>
      <c r="F9" s="14">
        <v>13051.27</v>
      </c>
      <c r="G9" s="14">
        <v>14778.73</v>
      </c>
      <c r="H9" s="14">
        <v>13617.75</v>
      </c>
      <c r="I9" s="30">
        <v>11632.25</v>
      </c>
      <c r="J9" s="30">
        <v>12648.849999999999</v>
      </c>
      <c r="K9" s="30">
        <v>15402.78</v>
      </c>
      <c r="L9" s="30">
        <v>16829.11</v>
      </c>
    </row>
    <row r="10" spans="1:13" x14ac:dyDescent="0.25">
      <c r="B10" s="50" t="s">
        <v>11</v>
      </c>
      <c r="C10" s="127">
        <v>10082.440000000002</v>
      </c>
      <c r="D10" s="127">
        <v>10734.830000000009</v>
      </c>
      <c r="E10" s="127">
        <v>13226.099999999988</v>
      </c>
      <c r="F10" s="127">
        <v>15206.509999999984</v>
      </c>
      <c r="G10" s="127">
        <v>10157.749999999989</v>
      </c>
      <c r="H10" s="127">
        <v>11487.020000000004</v>
      </c>
      <c r="I10" s="131">
        <v>14682.85000000002</v>
      </c>
      <c r="J10" s="131">
        <v>20285.290000000015</v>
      </c>
      <c r="K10" s="131">
        <v>24891.929999999993</v>
      </c>
      <c r="L10" s="131">
        <v>30518.190000000002</v>
      </c>
    </row>
    <row r="11" spans="1:13" x14ac:dyDescent="0.25">
      <c r="I11" s="28"/>
      <c r="J11" s="28"/>
      <c r="K11" s="28"/>
      <c r="L11" s="28"/>
    </row>
    <row r="12" spans="1:13" x14ac:dyDescent="0.25">
      <c r="B12" t="s">
        <v>13</v>
      </c>
      <c r="C12" s="55">
        <v>2441.65</v>
      </c>
      <c r="D12" s="55">
        <v>2812.72</v>
      </c>
      <c r="E12" s="55">
        <v>3279.9</v>
      </c>
      <c r="F12" s="55">
        <v>3990.77</v>
      </c>
      <c r="G12" s="55">
        <v>3366.68</v>
      </c>
      <c r="H12" s="55">
        <v>3378.11</v>
      </c>
      <c r="I12" s="130">
        <v>3507.5</v>
      </c>
      <c r="J12" s="130">
        <v>4356.8100000000004</v>
      </c>
      <c r="K12" s="130">
        <v>4723.78</v>
      </c>
      <c r="L12" s="130">
        <v>6073.65</v>
      </c>
    </row>
    <row r="13" spans="1:13" x14ac:dyDescent="0.25">
      <c r="B13" s="50" t="s">
        <v>15</v>
      </c>
      <c r="C13" s="127">
        <v>7640.7900000000027</v>
      </c>
      <c r="D13" s="127">
        <v>7922.1100000000097</v>
      </c>
      <c r="E13" s="127">
        <v>9946.199999999988</v>
      </c>
      <c r="F13" s="127">
        <v>11215.739999999983</v>
      </c>
      <c r="G13" s="127">
        <v>6791.0699999999888</v>
      </c>
      <c r="H13" s="127">
        <v>8108.9100000000035</v>
      </c>
      <c r="I13" s="131">
        <v>11175.35000000002</v>
      </c>
      <c r="J13" s="131">
        <v>15928.480000000014</v>
      </c>
      <c r="K13" s="131">
        <v>20168.149999999994</v>
      </c>
      <c r="L13" s="131">
        <v>24444.54</v>
      </c>
    </row>
    <row r="14" spans="1:13" x14ac:dyDescent="0.25">
      <c r="I14" s="28"/>
      <c r="J14" s="28"/>
      <c r="K14" s="28"/>
      <c r="L14" s="28"/>
    </row>
    <row r="15" spans="1:13" x14ac:dyDescent="0.25">
      <c r="B15" t="s">
        <v>17</v>
      </c>
      <c r="C15" s="14">
        <v>1398.83</v>
      </c>
      <c r="D15" s="14">
        <v>2076.61</v>
      </c>
      <c r="E15" s="14">
        <v>4366.41</v>
      </c>
      <c r="F15" s="14">
        <v>2676.45</v>
      </c>
      <c r="G15" s="14">
        <v>884.69</v>
      </c>
      <c r="H15" s="14">
        <v>1151.51</v>
      </c>
      <c r="I15" s="30">
        <v>3204.47</v>
      </c>
      <c r="J15" s="30">
        <v>3961.45</v>
      </c>
      <c r="K15" s="30">
        <v>3297.85</v>
      </c>
      <c r="L15" s="30">
        <v>3718.47</v>
      </c>
    </row>
    <row r="16" spans="1:13" x14ac:dyDescent="0.25">
      <c r="B16" s="50" t="s">
        <v>18</v>
      </c>
      <c r="C16" s="127">
        <v>9039.6200000000026</v>
      </c>
      <c r="D16" s="127">
        <v>9998.7200000000103</v>
      </c>
      <c r="E16" s="127">
        <v>14312.609999999988</v>
      </c>
      <c r="F16" s="127">
        <v>13892.189999999984</v>
      </c>
      <c r="G16" s="127">
        <v>7675.7599999999893</v>
      </c>
      <c r="H16" s="127">
        <v>9260.4200000000037</v>
      </c>
      <c r="I16" s="131">
        <v>14379.82000000002</v>
      </c>
      <c r="J16" s="131">
        <v>19889.930000000015</v>
      </c>
      <c r="K16" s="131">
        <v>23465.999999999993</v>
      </c>
      <c r="L16" s="131">
        <v>28163.010000000002</v>
      </c>
    </row>
    <row r="17" spans="2:12" x14ac:dyDescent="0.25">
      <c r="I17" s="28"/>
      <c r="J17" s="28"/>
      <c r="K17" s="28"/>
      <c r="L17" s="28"/>
    </row>
    <row r="18" spans="2:12" x14ac:dyDescent="0.25">
      <c r="B18" t="s">
        <v>19</v>
      </c>
      <c r="C18" s="14">
        <v>3367.59</v>
      </c>
      <c r="D18" s="14">
        <v>3648.46</v>
      </c>
      <c r="E18" s="14">
        <v>3987.09</v>
      </c>
      <c r="F18" s="14">
        <v>5021.3500000000004</v>
      </c>
      <c r="G18" s="14">
        <v>6021.15</v>
      </c>
      <c r="H18" s="14">
        <v>6102.22</v>
      </c>
      <c r="I18" s="30">
        <v>5018.05</v>
      </c>
      <c r="J18" s="30">
        <v>5829.7</v>
      </c>
      <c r="K18" s="30">
        <v>7488.21</v>
      </c>
      <c r="L18" s="30">
        <v>9083.39</v>
      </c>
    </row>
    <row r="19" spans="2:12" x14ac:dyDescent="0.25">
      <c r="B19" s="50" t="s">
        <v>21</v>
      </c>
      <c r="C19" s="127">
        <v>5672.0300000000025</v>
      </c>
      <c r="D19" s="127">
        <v>6350.2600000000102</v>
      </c>
      <c r="E19" s="127">
        <v>10325.519999999988</v>
      </c>
      <c r="F19" s="127">
        <v>8870.8399999999838</v>
      </c>
      <c r="G19" s="127">
        <v>1654.6099999999897</v>
      </c>
      <c r="H19" s="127">
        <v>3158.2000000000035</v>
      </c>
      <c r="I19" s="131">
        <v>9361.7700000000186</v>
      </c>
      <c r="J19" s="131">
        <v>14060.230000000014</v>
      </c>
      <c r="K19" s="131">
        <v>15977.789999999994</v>
      </c>
      <c r="L19" s="131">
        <v>19079.620000000003</v>
      </c>
    </row>
    <row r="20" spans="2:12" x14ac:dyDescent="0.25">
      <c r="I20" s="28"/>
      <c r="J20" s="28"/>
      <c r="K20" s="28"/>
      <c r="L20" s="28"/>
    </row>
    <row r="21" spans="2:12" x14ac:dyDescent="0.25">
      <c r="B21" t="s">
        <v>23</v>
      </c>
      <c r="C21" s="14">
        <v>2117.5300000000002</v>
      </c>
      <c r="D21" s="14">
        <v>2299.73</v>
      </c>
      <c r="E21" s="14">
        <v>2367.73</v>
      </c>
      <c r="F21" s="14">
        <v>2853.99</v>
      </c>
      <c r="G21" s="14">
        <v>1975.61</v>
      </c>
      <c r="H21" s="14">
        <v>1645.81</v>
      </c>
      <c r="I21" s="30">
        <v>2108.7600000000002</v>
      </c>
      <c r="J21" s="30">
        <v>2685.75</v>
      </c>
      <c r="K21" s="30">
        <v>3707.97</v>
      </c>
      <c r="L21" s="30">
        <v>5006.45</v>
      </c>
    </row>
    <row r="22" spans="2:12" x14ac:dyDescent="0.25">
      <c r="B22" t="s">
        <v>24</v>
      </c>
      <c r="C22" s="53">
        <v>0.373328420336282</v>
      </c>
      <c r="D22" s="53">
        <v>0.36214737664284552</v>
      </c>
      <c r="E22" s="53">
        <v>0.22930854814091714</v>
      </c>
      <c r="F22" s="53">
        <v>0.32172714196175389</v>
      </c>
      <c r="G22" s="53">
        <v>1.1940034207456816</v>
      </c>
      <c r="H22" s="53">
        <v>0.52112279146349128</v>
      </c>
      <c r="I22" s="129">
        <v>0.22525227601190759</v>
      </c>
      <c r="J22" s="129">
        <v>0.19101750113618321</v>
      </c>
      <c r="K22" s="129">
        <v>0.23207026754012922</v>
      </c>
      <c r="L22" s="129">
        <v>0.26239778360365662</v>
      </c>
    </row>
    <row r="23" spans="2:12" x14ac:dyDescent="0.25">
      <c r="B23" s="50" t="s">
        <v>25</v>
      </c>
      <c r="C23" s="127">
        <v>3554.5000000000023</v>
      </c>
      <c r="D23" s="127">
        <v>4050.5300000000102</v>
      </c>
      <c r="E23" s="127">
        <v>7957.7899999999881</v>
      </c>
      <c r="F23" s="127">
        <v>6016.849999999984</v>
      </c>
      <c r="G23" s="127">
        <v>-321.00000000001023</v>
      </c>
      <c r="H23" s="127">
        <v>1512.3900000000035</v>
      </c>
      <c r="I23" s="131">
        <v>7253.0100000000184</v>
      </c>
      <c r="J23" s="131">
        <v>11374.480000000014</v>
      </c>
      <c r="K23" s="131">
        <v>12269.819999999994</v>
      </c>
      <c r="L23" s="131">
        <v>14073.170000000002</v>
      </c>
    </row>
    <row r="24" spans="2:12" x14ac:dyDescent="0.25">
      <c r="I24" s="28"/>
      <c r="J24" s="28"/>
      <c r="K24" s="28"/>
      <c r="L24" s="28"/>
    </row>
    <row r="25" spans="2:12" x14ac:dyDescent="0.25">
      <c r="B25" t="s">
        <v>27</v>
      </c>
      <c r="C25" s="36">
        <v>-406</v>
      </c>
      <c r="D25" s="36">
        <v>-352</v>
      </c>
      <c r="E25" s="36">
        <v>-447</v>
      </c>
      <c r="F25" s="36">
        <v>-701</v>
      </c>
      <c r="G25" s="36">
        <v>448</v>
      </c>
      <c r="H25" s="36">
        <v>300</v>
      </c>
      <c r="I25" s="154">
        <v>-676</v>
      </c>
      <c r="J25" s="154">
        <v>-1093</v>
      </c>
      <c r="K25" s="154">
        <v>-1001</v>
      </c>
      <c r="L25" s="154">
        <v>-1144</v>
      </c>
    </row>
    <row r="26" spans="2:12" x14ac:dyDescent="0.25">
      <c r="B26" s="50" t="s">
        <v>28</v>
      </c>
      <c r="C26" s="127">
        <v>3148.5000000000023</v>
      </c>
      <c r="D26" s="127">
        <v>3698.5300000000102</v>
      </c>
      <c r="E26" s="127">
        <v>7510.7899999999881</v>
      </c>
      <c r="F26" s="127">
        <v>5315.849999999984</v>
      </c>
      <c r="G26" s="127">
        <v>126.99999999998977</v>
      </c>
      <c r="H26" s="127">
        <v>1812.3900000000035</v>
      </c>
      <c r="I26" s="131">
        <v>6577.0100000000184</v>
      </c>
      <c r="J26" s="131">
        <v>10281.480000000014</v>
      </c>
      <c r="K26" s="131">
        <v>11268.819999999994</v>
      </c>
      <c r="L26" s="131">
        <v>12929.170000000002</v>
      </c>
    </row>
    <row r="28" spans="2:12" x14ac:dyDescent="0.25">
      <c r="B28" s="57" t="s">
        <v>29</v>
      </c>
      <c r="C28" s="58">
        <v>124.22</v>
      </c>
      <c r="D28" s="58">
        <v>124.22</v>
      </c>
      <c r="E28" s="58">
        <v>124.32</v>
      </c>
      <c r="F28" s="58">
        <v>124.32</v>
      </c>
      <c r="G28" s="58">
        <v>124.32</v>
      </c>
      <c r="H28" s="58">
        <v>124.32</v>
      </c>
      <c r="I28" s="58">
        <v>124.32</v>
      </c>
      <c r="J28" s="58">
        <v>124.35</v>
      </c>
      <c r="K28" s="58">
        <v>124.35</v>
      </c>
      <c r="L28" s="58">
        <v>124.35</v>
      </c>
    </row>
    <row r="29" spans="2:12" x14ac:dyDescent="0.25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</row>
    <row r="30" spans="2:12" x14ac:dyDescent="0.25">
      <c r="B30" s="57" t="s">
        <v>30</v>
      </c>
      <c r="C30" s="59">
        <v>25.346160038641138</v>
      </c>
      <c r="D30" s="59">
        <v>29.774029946868541</v>
      </c>
      <c r="E30" s="59">
        <v>60.414977477477386</v>
      </c>
      <c r="F30" s="59">
        <v>42.759411196911067</v>
      </c>
      <c r="G30" s="59">
        <v>1.0215572715571892</v>
      </c>
      <c r="H30" s="59">
        <v>14.57842664092667</v>
      </c>
      <c r="I30" s="59">
        <v>52.90387709137724</v>
      </c>
      <c r="J30" s="59">
        <v>82.681785283474184</v>
      </c>
      <c r="K30" s="59">
        <v>90.621793325291478</v>
      </c>
      <c r="L30" s="59">
        <v>103.97402492963411</v>
      </c>
    </row>
    <row r="31" spans="2:12" x14ac:dyDescent="0.25">
      <c r="B31" s="57" t="s">
        <v>31</v>
      </c>
      <c r="C31" s="57"/>
      <c r="D31" s="60">
        <v>0.17469588693028681</v>
      </c>
      <c r="E31" s="60">
        <v>1.0291165685426966</v>
      </c>
      <c r="F31" s="60">
        <v>-0.29223823326174847</v>
      </c>
      <c r="G31" s="60">
        <v>-0.97610918291524584</v>
      </c>
      <c r="H31" s="60">
        <v>13.270787401575982</v>
      </c>
      <c r="I31" s="60">
        <v>2.6289154100386809</v>
      </c>
      <c r="J31" s="60">
        <v>0.56286816447618016</v>
      </c>
      <c r="K31" s="60">
        <v>9.6030921618286413E-2</v>
      </c>
      <c r="L31" s="60">
        <v>0.1473401829117873</v>
      </c>
    </row>
    <row r="32" spans="2:12" x14ac:dyDescent="0.25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</row>
    <row r="33" spans="1:12" x14ac:dyDescent="0.25">
      <c r="B33" s="57" t="s">
        <v>32</v>
      </c>
      <c r="C33" s="61">
        <v>5.2242795041056196</v>
      </c>
      <c r="D33" s="61">
        <v>6.5</v>
      </c>
      <c r="E33" s="61">
        <v>6.5532496782496787</v>
      </c>
      <c r="F33" s="61">
        <v>7.4383043758043765</v>
      </c>
      <c r="G33" s="61">
        <v>2.0954794079794081</v>
      </c>
      <c r="H33" s="61">
        <v>7.8145913770913777</v>
      </c>
      <c r="I33" s="61">
        <v>10.332207207207208</v>
      </c>
      <c r="J33" s="61">
        <v>14.55295536791315</v>
      </c>
      <c r="K33" s="61">
        <v>18.915480498592682</v>
      </c>
      <c r="L33" s="61">
        <v>22.712022517088862</v>
      </c>
    </row>
    <row r="34" spans="1:12" x14ac:dyDescent="0.25">
      <c r="B34" s="57" t="s">
        <v>33</v>
      </c>
      <c r="C34" s="60">
        <v>0.20611719866603131</v>
      </c>
      <c r="D34" s="60">
        <v>0.21831105871792247</v>
      </c>
      <c r="E34" s="60">
        <v>0.10847061361055246</v>
      </c>
      <c r="F34" s="60">
        <v>0.17395712821091697</v>
      </c>
      <c r="G34" s="60">
        <v>2.0512598425198507</v>
      </c>
      <c r="H34" s="60">
        <v>0.53603804920574383</v>
      </c>
      <c r="I34" s="60">
        <v>0.19530151238936788</v>
      </c>
      <c r="J34" s="60">
        <v>0.17601162478553647</v>
      </c>
      <c r="K34" s="60">
        <v>0.2087299291318879</v>
      </c>
      <c r="L34" s="60">
        <v>0.2184393893807568</v>
      </c>
    </row>
    <row r="35" spans="1:12" x14ac:dyDescent="0.25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</row>
    <row r="36" spans="1:12" x14ac:dyDescent="0.25">
      <c r="B36" s="57" t="s">
        <v>34</v>
      </c>
      <c r="C36" s="60">
        <v>0.79388280133396871</v>
      </c>
      <c r="D36" s="60">
        <v>0.78168894128207755</v>
      </c>
      <c r="E36" s="60">
        <v>0.89152938638944756</v>
      </c>
      <c r="F36" s="60">
        <v>0.82604287178908309</v>
      </c>
      <c r="G36" s="60">
        <v>0</v>
      </c>
      <c r="H36" s="60">
        <v>0.46396195079425617</v>
      </c>
      <c r="I36" s="60">
        <v>0.80469848761063212</v>
      </c>
      <c r="J36" s="60">
        <v>0.82398837521446355</v>
      </c>
      <c r="K36" s="60">
        <v>0.79127007086811207</v>
      </c>
      <c r="L36" s="60">
        <v>0.7815606106192432</v>
      </c>
    </row>
    <row r="39" spans="1:12" x14ac:dyDescent="0.25">
      <c r="A39" t="s">
        <v>1</v>
      </c>
      <c r="B39" s="20" t="s">
        <v>35</v>
      </c>
      <c r="C39" s="136">
        <f>C4</f>
        <v>2016</v>
      </c>
      <c r="D39" s="136">
        <f t="shared" ref="D39:L39" si="1">D4</f>
        <v>2017</v>
      </c>
      <c r="E39" s="136">
        <f t="shared" si="1"/>
        <v>2018</v>
      </c>
      <c r="F39" s="136">
        <f t="shared" si="1"/>
        <v>2019</v>
      </c>
      <c r="G39" s="136">
        <f t="shared" si="1"/>
        <v>2020</v>
      </c>
      <c r="H39" s="136">
        <f t="shared" si="1"/>
        <v>2021</v>
      </c>
      <c r="I39" s="136">
        <f t="shared" si="1"/>
        <v>2022</v>
      </c>
      <c r="J39" s="136">
        <f t="shared" si="1"/>
        <v>2023</v>
      </c>
      <c r="K39" s="136">
        <f t="shared" si="1"/>
        <v>2024</v>
      </c>
      <c r="L39" s="136">
        <f t="shared" si="1"/>
        <v>2025</v>
      </c>
    </row>
    <row r="40" spans="1:12" x14ac:dyDescent="0.25">
      <c r="B40" t="s">
        <v>132</v>
      </c>
      <c r="C40">
        <v>270</v>
      </c>
      <c r="D40">
        <v>311</v>
      </c>
      <c r="E40">
        <v>543</v>
      </c>
      <c r="F40">
        <v>544</v>
      </c>
      <c r="G40">
        <v>554</v>
      </c>
      <c r="H40">
        <v>555</v>
      </c>
      <c r="I40" s="132">
        <v>556</v>
      </c>
      <c r="J40" s="132">
        <v>556</v>
      </c>
      <c r="K40" s="132">
        <v>557</v>
      </c>
      <c r="L40" s="132">
        <v>558</v>
      </c>
    </row>
    <row r="41" spans="1:12" x14ac:dyDescent="0.25">
      <c r="B41" t="s">
        <v>37</v>
      </c>
      <c r="C41" s="14">
        <v>26222</v>
      </c>
      <c r="D41" s="14">
        <v>29467</v>
      </c>
      <c r="E41" s="14">
        <v>36232</v>
      </c>
      <c r="F41" s="14">
        <v>39439</v>
      </c>
      <c r="G41" s="14">
        <v>39415</v>
      </c>
      <c r="H41" s="14">
        <v>41027</v>
      </c>
      <c r="I41" s="132">
        <v>46566</v>
      </c>
      <c r="J41" s="132">
        <v>55809</v>
      </c>
      <c r="K41" s="132">
        <v>65631</v>
      </c>
      <c r="L41" s="132">
        <v>76484</v>
      </c>
    </row>
    <row r="42" spans="1:12" x14ac:dyDescent="0.25">
      <c r="B42" s="9" t="s">
        <v>133</v>
      </c>
      <c r="C42" s="14"/>
      <c r="D42" s="14"/>
      <c r="E42" s="14"/>
      <c r="F42" s="14"/>
      <c r="G42" s="14"/>
      <c r="H42" s="14"/>
      <c r="I42" s="132"/>
      <c r="J42" s="132"/>
      <c r="K42" s="132"/>
      <c r="L42" s="132"/>
    </row>
    <row r="43" spans="1:12" x14ac:dyDescent="0.25">
      <c r="B43" t="s">
        <v>134</v>
      </c>
      <c r="C43" s="14">
        <v>23599</v>
      </c>
      <c r="D43" s="14">
        <v>30125</v>
      </c>
      <c r="E43" s="14">
        <v>33809</v>
      </c>
      <c r="F43" s="14">
        <v>43526</v>
      </c>
      <c r="G43" s="14">
        <v>52298</v>
      </c>
      <c r="H43" s="14">
        <v>52778</v>
      </c>
      <c r="I43" s="132">
        <v>48625</v>
      </c>
      <c r="J43" s="132">
        <v>55027</v>
      </c>
      <c r="K43" s="132">
        <v>69741</v>
      </c>
      <c r="L43" s="132">
        <v>83782</v>
      </c>
    </row>
    <row r="44" spans="1:12" x14ac:dyDescent="0.25">
      <c r="B44" t="s">
        <v>135</v>
      </c>
      <c r="C44" s="14">
        <v>7077</v>
      </c>
      <c r="D44" s="14">
        <v>10122</v>
      </c>
      <c r="E44" s="14">
        <v>11326</v>
      </c>
      <c r="F44" s="14">
        <v>10541</v>
      </c>
      <c r="G44" s="14">
        <v>10218</v>
      </c>
      <c r="H44" s="14">
        <v>4647</v>
      </c>
      <c r="I44" s="132">
        <v>26042</v>
      </c>
      <c r="J44" s="132">
        <v>33740</v>
      </c>
      <c r="K44" s="132">
        <v>35484</v>
      </c>
      <c r="L44" s="132">
        <v>41466</v>
      </c>
    </row>
    <row r="45" spans="1:12" x14ac:dyDescent="0.25">
      <c r="B45" t="s">
        <v>136</v>
      </c>
      <c r="C45">
        <v>0</v>
      </c>
      <c r="D45">
        <v>0</v>
      </c>
      <c r="E45">
        <v>0</v>
      </c>
      <c r="F45">
        <v>0</v>
      </c>
      <c r="G45">
        <v>0</v>
      </c>
      <c r="H45" s="14">
        <v>2666</v>
      </c>
      <c r="I45" s="132">
        <v>2938</v>
      </c>
      <c r="J45" s="132">
        <v>3480</v>
      </c>
      <c r="K45" s="132">
        <v>3422</v>
      </c>
      <c r="L45" s="132">
        <v>3776</v>
      </c>
    </row>
    <row r="46" spans="1:12" x14ac:dyDescent="0.25">
      <c r="B46" t="s">
        <v>137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132">
        <v>0</v>
      </c>
      <c r="J46" s="132">
        <v>0</v>
      </c>
      <c r="K46" s="132">
        <v>2022</v>
      </c>
      <c r="L46" s="132">
        <v>4075</v>
      </c>
    </row>
    <row r="47" spans="1:12" x14ac:dyDescent="0.25">
      <c r="B47" t="s">
        <v>138</v>
      </c>
      <c r="C47" s="14">
        <v>10877</v>
      </c>
      <c r="D47" s="14">
        <v>8516</v>
      </c>
      <c r="E47" s="14">
        <v>10763</v>
      </c>
      <c r="F47" s="14">
        <v>16781</v>
      </c>
      <c r="G47" s="14">
        <v>19577</v>
      </c>
      <c r="H47" s="14">
        <v>20533</v>
      </c>
      <c r="I47" s="132">
        <v>0</v>
      </c>
      <c r="J47" s="132">
        <v>0</v>
      </c>
      <c r="K47" s="132">
        <v>-2022</v>
      </c>
      <c r="L47" s="132">
        <v>-4075</v>
      </c>
    </row>
    <row r="48" spans="1:12" x14ac:dyDescent="0.25">
      <c r="B48" s="9" t="s">
        <v>139</v>
      </c>
      <c r="C48" s="14"/>
      <c r="D48" s="14"/>
      <c r="E48" s="14"/>
      <c r="F48" s="14"/>
      <c r="G48" s="14"/>
      <c r="H48" s="14"/>
      <c r="I48" s="132"/>
      <c r="J48" s="132"/>
      <c r="K48" s="132"/>
      <c r="L48" s="132"/>
    </row>
    <row r="49" spans="2:12" x14ac:dyDescent="0.25">
      <c r="B49" t="s">
        <v>140</v>
      </c>
      <c r="C49" s="14">
        <v>5920</v>
      </c>
      <c r="D49" s="14">
        <v>6357</v>
      </c>
      <c r="E49" s="14">
        <v>8250</v>
      </c>
      <c r="F49" s="14">
        <v>8361</v>
      </c>
      <c r="G49" s="14">
        <v>7692</v>
      </c>
      <c r="H49" s="14">
        <v>9070</v>
      </c>
      <c r="I49" s="132">
        <v>9703</v>
      </c>
      <c r="J49" s="132">
        <v>10716</v>
      </c>
      <c r="K49" s="132">
        <v>11319</v>
      </c>
      <c r="L49" s="132">
        <v>12059</v>
      </c>
    </row>
    <row r="50" spans="2:12" x14ac:dyDescent="0.25">
      <c r="B50" t="s">
        <v>141</v>
      </c>
      <c r="C50" s="14">
        <v>13376</v>
      </c>
      <c r="D50" s="14">
        <v>14797</v>
      </c>
      <c r="E50" s="14">
        <v>18287</v>
      </c>
      <c r="F50" s="14">
        <v>20992</v>
      </c>
      <c r="G50" s="14">
        <v>14985</v>
      </c>
      <c r="H50" s="14">
        <v>15506</v>
      </c>
      <c r="I50" s="132">
        <v>19037</v>
      </c>
      <c r="J50" s="132">
        <v>23836</v>
      </c>
      <c r="K50" s="132">
        <v>25666</v>
      </c>
      <c r="L50" s="132">
        <v>30855</v>
      </c>
    </row>
    <row r="51" spans="2:12" x14ac:dyDescent="0.25">
      <c r="B51" t="s">
        <v>142</v>
      </c>
      <c r="C51">
        <v>801</v>
      </c>
      <c r="D51">
        <v>515</v>
      </c>
      <c r="E51">
        <v>844</v>
      </c>
      <c r="F51">
        <v>0</v>
      </c>
      <c r="G51">
        <v>0</v>
      </c>
      <c r="H51">
        <v>0</v>
      </c>
      <c r="I51" s="132">
        <v>0</v>
      </c>
      <c r="J51" s="132">
        <v>0</v>
      </c>
      <c r="K51" s="132">
        <v>0</v>
      </c>
      <c r="L51" s="132">
        <v>0</v>
      </c>
    </row>
    <row r="52" spans="2:12" x14ac:dyDescent="0.25">
      <c r="B52" t="s">
        <v>143</v>
      </c>
      <c r="C52" s="14">
        <v>11709</v>
      </c>
      <c r="D52" s="14">
        <v>13627</v>
      </c>
      <c r="E52" s="14">
        <v>16314</v>
      </c>
      <c r="F52" s="14">
        <v>21704</v>
      </c>
      <c r="G52" s="14">
        <v>20977</v>
      </c>
      <c r="H52" s="14">
        <v>18185</v>
      </c>
      <c r="I52" s="132">
        <v>18921</v>
      </c>
      <c r="J52" s="132">
        <v>21119</v>
      </c>
      <c r="K52" s="132">
        <v>22900</v>
      </c>
      <c r="L52" s="132">
        <v>27035</v>
      </c>
    </row>
    <row r="53" spans="2:12" x14ac:dyDescent="0.25">
      <c r="B53" s="31" t="s">
        <v>82</v>
      </c>
      <c r="C53" s="35">
        <v>99852</v>
      </c>
      <c r="D53" s="35">
        <v>113835</v>
      </c>
      <c r="E53" s="35">
        <v>136369</v>
      </c>
      <c r="F53" s="35">
        <v>161889</v>
      </c>
      <c r="G53" s="35">
        <v>165716</v>
      </c>
      <c r="H53" s="35">
        <v>164968</v>
      </c>
      <c r="I53" s="128">
        <v>172388</v>
      </c>
      <c r="J53" s="128">
        <v>204283</v>
      </c>
      <c r="K53" s="128">
        <v>234720</v>
      </c>
      <c r="L53" s="128">
        <v>276015</v>
      </c>
    </row>
    <row r="54" spans="2:12" x14ac:dyDescent="0.25">
      <c r="B54" s="9" t="s">
        <v>144</v>
      </c>
      <c r="C54" s="14"/>
      <c r="D54" s="14"/>
      <c r="E54" s="14"/>
      <c r="F54" s="14"/>
      <c r="G54" s="14"/>
      <c r="H54" s="14"/>
      <c r="I54" s="132"/>
      <c r="J54" s="132"/>
      <c r="K54" s="132"/>
      <c r="L54" s="132"/>
    </row>
    <row r="55" spans="2:12" x14ac:dyDescent="0.25">
      <c r="B55" t="s">
        <v>145</v>
      </c>
      <c r="C55" s="14">
        <v>3575</v>
      </c>
      <c r="D55" s="14">
        <v>4027</v>
      </c>
      <c r="E55" s="14">
        <v>4285</v>
      </c>
      <c r="F55" s="14">
        <v>4295</v>
      </c>
      <c r="G55" s="14">
        <v>4511</v>
      </c>
      <c r="H55" s="14">
        <v>1712</v>
      </c>
      <c r="I55" s="132">
        <v>1931</v>
      </c>
      <c r="J55" s="132">
        <v>1977</v>
      </c>
      <c r="K55" s="132">
        <v>2098</v>
      </c>
      <c r="L55" s="132">
        <v>2115</v>
      </c>
    </row>
    <row r="56" spans="2:12" x14ac:dyDescent="0.25">
      <c r="B56" t="s">
        <v>146</v>
      </c>
      <c r="C56" s="14">
        <v>7958</v>
      </c>
      <c r="D56" s="14">
        <v>8084</v>
      </c>
      <c r="E56" s="14">
        <v>8842</v>
      </c>
      <c r="F56" s="14">
        <v>9037</v>
      </c>
      <c r="G56" s="14">
        <v>11956</v>
      </c>
      <c r="H56" s="14">
        <v>8482</v>
      </c>
      <c r="I56" s="132">
        <v>9728</v>
      </c>
      <c r="J56" s="132">
        <v>10862</v>
      </c>
      <c r="K56" s="132">
        <v>11496</v>
      </c>
      <c r="L56" s="132">
        <v>13100</v>
      </c>
    </row>
    <row r="57" spans="2:12" x14ac:dyDescent="0.25">
      <c r="B57" t="s">
        <v>147</v>
      </c>
      <c r="C57" s="14">
        <v>27333</v>
      </c>
      <c r="D57" s="14">
        <v>28316</v>
      </c>
      <c r="E57" s="14">
        <v>32713</v>
      </c>
      <c r="F57" s="14">
        <v>35762</v>
      </c>
      <c r="G57" s="14">
        <v>38492</v>
      </c>
      <c r="H57" s="14">
        <v>22386</v>
      </c>
      <c r="I57" s="132">
        <v>26484</v>
      </c>
      <c r="J57" s="132">
        <v>24928</v>
      </c>
      <c r="K57" s="132">
        <v>27230</v>
      </c>
      <c r="L57" s="132">
        <v>32547</v>
      </c>
    </row>
    <row r="58" spans="2:12" x14ac:dyDescent="0.25">
      <c r="B58" t="s">
        <v>148</v>
      </c>
      <c r="C58">
        <v>317</v>
      </c>
      <c r="D58">
        <v>351</v>
      </c>
      <c r="E58">
        <v>372</v>
      </c>
      <c r="F58">
        <v>384</v>
      </c>
      <c r="G58">
        <v>417</v>
      </c>
      <c r="H58">
        <v>418</v>
      </c>
      <c r="I58" s="132">
        <v>445</v>
      </c>
      <c r="J58" s="132">
        <v>452</v>
      </c>
      <c r="K58" s="132">
        <v>481</v>
      </c>
      <c r="L58" s="132">
        <v>493</v>
      </c>
    </row>
    <row r="59" spans="2:12" x14ac:dyDescent="0.25">
      <c r="B59" t="s">
        <v>149</v>
      </c>
      <c r="C59">
        <v>944</v>
      </c>
      <c r="D59">
        <v>974</v>
      </c>
      <c r="E59" s="14">
        <v>1059</v>
      </c>
      <c r="F59" s="14">
        <v>1079</v>
      </c>
      <c r="G59" s="14">
        <v>1160</v>
      </c>
      <c r="H59">
        <v>805</v>
      </c>
      <c r="I59" s="132">
        <v>844</v>
      </c>
      <c r="J59" s="132">
        <v>925</v>
      </c>
      <c r="K59" s="132">
        <v>1011</v>
      </c>
      <c r="L59" s="132">
        <v>1118</v>
      </c>
    </row>
    <row r="60" spans="2:12" x14ac:dyDescent="0.25">
      <c r="B60" t="s">
        <v>150</v>
      </c>
      <c r="C60">
        <v>652</v>
      </c>
      <c r="D60">
        <v>703</v>
      </c>
      <c r="E60">
        <v>788</v>
      </c>
      <c r="F60">
        <v>847</v>
      </c>
      <c r="G60" s="14">
        <v>1068</v>
      </c>
      <c r="H60">
        <v>986</v>
      </c>
      <c r="I60" s="132">
        <v>1090</v>
      </c>
      <c r="J60" s="132">
        <v>1238</v>
      </c>
      <c r="K60" s="132">
        <v>1356</v>
      </c>
      <c r="L60" s="132">
        <v>1593</v>
      </c>
    </row>
    <row r="61" spans="2:12" x14ac:dyDescent="0.25">
      <c r="B61" t="s">
        <v>151</v>
      </c>
      <c r="C61" s="14">
        <v>3298</v>
      </c>
      <c r="D61" s="14">
        <v>3915</v>
      </c>
      <c r="E61" s="14">
        <v>7216</v>
      </c>
      <c r="F61" s="14">
        <v>9696</v>
      </c>
      <c r="G61" s="14">
        <v>9733</v>
      </c>
      <c r="H61" s="14">
        <v>6932</v>
      </c>
      <c r="I61" s="132">
        <v>7046</v>
      </c>
      <c r="J61" s="132">
        <v>10625</v>
      </c>
      <c r="K61" s="132">
        <v>11589</v>
      </c>
      <c r="L61" s="132">
        <v>13723</v>
      </c>
    </row>
    <row r="62" spans="2:12" x14ac:dyDescent="0.25">
      <c r="B62" t="s">
        <v>152</v>
      </c>
      <c r="C62">
        <v>646</v>
      </c>
      <c r="D62">
        <v>758</v>
      </c>
      <c r="E62" s="14">
        <v>1064</v>
      </c>
      <c r="F62" s="14">
        <v>1113</v>
      </c>
      <c r="G62" s="14">
        <v>1265</v>
      </c>
      <c r="H62">
        <v>937</v>
      </c>
      <c r="I62" s="132">
        <v>958</v>
      </c>
      <c r="J62" s="132">
        <v>1084</v>
      </c>
      <c r="K62" s="132">
        <v>1202</v>
      </c>
      <c r="L62" s="132">
        <v>1454</v>
      </c>
    </row>
    <row r="63" spans="2:12" x14ac:dyDescent="0.25">
      <c r="B63" s="16" t="s">
        <v>85</v>
      </c>
      <c r="C63" s="32">
        <v>44723</v>
      </c>
      <c r="D63" s="32">
        <v>47128</v>
      </c>
      <c r="E63" s="32">
        <v>56339</v>
      </c>
      <c r="F63" s="32">
        <v>62211</v>
      </c>
      <c r="G63" s="32">
        <v>68602</v>
      </c>
      <c r="H63" s="32">
        <v>42658</v>
      </c>
      <c r="I63" s="133">
        <v>48526</v>
      </c>
      <c r="J63" s="133">
        <v>52090</v>
      </c>
      <c r="K63" s="133">
        <v>56462</v>
      </c>
      <c r="L63" s="133">
        <v>66143</v>
      </c>
    </row>
    <row r="64" spans="2:12" x14ac:dyDescent="0.25">
      <c r="B64" s="17" t="s">
        <v>153</v>
      </c>
      <c r="C64" s="33">
        <v>24138</v>
      </c>
      <c r="D64" s="33">
        <v>26139</v>
      </c>
      <c r="E64" s="33">
        <v>30157</v>
      </c>
      <c r="F64" s="33">
        <v>33229</v>
      </c>
      <c r="G64" s="33">
        <v>38913</v>
      </c>
      <c r="H64" s="33">
        <v>21278</v>
      </c>
      <c r="I64" s="134">
        <v>22508</v>
      </c>
      <c r="J64" s="134">
        <v>24950</v>
      </c>
      <c r="K64" s="134">
        <v>28333</v>
      </c>
      <c r="L64" s="134">
        <v>31506</v>
      </c>
    </row>
    <row r="65" spans="1:12" x14ac:dyDescent="0.25">
      <c r="B65" s="18" t="s">
        <v>85</v>
      </c>
      <c r="C65" s="34">
        <f>C63-C64</f>
        <v>20585</v>
      </c>
      <c r="D65" s="34">
        <f t="shared" ref="D65:L65" si="2">D63-D64</f>
        <v>20989</v>
      </c>
      <c r="E65" s="34">
        <f t="shared" si="2"/>
        <v>26182</v>
      </c>
      <c r="F65" s="34">
        <f t="shared" si="2"/>
        <v>28982</v>
      </c>
      <c r="G65" s="34">
        <f t="shared" si="2"/>
        <v>29689</v>
      </c>
      <c r="H65" s="34">
        <f t="shared" si="2"/>
        <v>21380</v>
      </c>
      <c r="I65" s="135">
        <f t="shared" si="2"/>
        <v>26018</v>
      </c>
      <c r="J65" s="135">
        <f t="shared" si="2"/>
        <v>27140</v>
      </c>
      <c r="K65" s="135">
        <f t="shared" si="2"/>
        <v>28129</v>
      </c>
      <c r="L65" s="135">
        <f t="shared" si="2"/>
        <v>34637</v>
      </c>
    </row>
    <row r="66" spans="1:12" x14ac:dyDescent="0.25">
      <c r="C66" s="14"/>
      <c r="D66" s="14"/>
      <c r="E66" s="14"/>
      <c r="F66" s="14"/>
      <c r="G66" s="14"/>
      <c r="H66" s="14"/>
      <c r="I66" s="132"/>
      <c r="J66" s="132"/>
      <c r="K66" s="132"/>
      <c r="L66" s="132"/>
    </row>
    <row r="67" spans="1:12" x14ac:dyDescent="0.25">
      <c r="B67" t="s">
        <v>154</v>
      </c>
      <c r="C67" s="14">
        <v>2371</v>
      </c>
      <c r="D67" s="14">
        <v>4279</v>
      </c>
      <c r="E67" s="14">
        <v>4269</v>
      </c>
      <c r="F67" s="14">
        <v>4760</v>
      </c>
      <c r="G67" s="14">
        <v>6856</v>
      </c>
      <c r="H67" s="14">
        <v>7873</v>
      </c>
      <c r="I67" s="132">
        <v>6703</v>
      </c>
      <c r="J67" s="132">
        <v>3969</v>
      </c>
      <c r="K67" s="132">
        <v>8039</v>
      </c>
      <c r="L67" s="132">
        <v>8298</v>
      </c>
    </row>
    <row r="68" spans="1:12" x14ac:dyDescent="0.25">
      <c r="B68" t="s">
        <v>43</v>
      </c>
      <c r="C68" s="14">
        <v>11603</v>
      </c>
      <c r="D68" s="14">
        <v>14662</v>
      </c>
      <c r="E68" s="14">
        <v>16018</v>
      </c>
      <c r="F68" s="14">
        <v>18268</v>
      </c>
      <c r="G68" s="14">
        <v>19210</v>
      </c>
      <c r="H68" s="14">
        <v>28778</v>
      </c>
      <c r="I68" s="132">
        <v>30060</v>
      </c>
      <c r="J68" s="132">
        <v>35272</v>
      </c>
      <c r="K68" s="132">
        <v>35208</v>
      </c>
      <c r="L68" s="132">
        <v>41309</v>
      </c>
    </row>
    <row r="69" spans="1:12" x14ac:dyDescent="0.25">
      <c r="B69" s="9" t="s">
        <v>155</v>
      </c>
      <c r="C69" s="14"/>
      <c r="D69" s="14"/>
      <c r="E69" s="14"/>
      <c r="F69" s="14"/>
      <c r="G69" s="14"/>
      <c r="H69" s="14"/>
      <c r="I69" s="132"/>
      <c r="J69" s="132"/>
      <c r="K69" s="132"/>
      <c r="L69" s="132"/>
    </row>
    <row r="70" spans="1:12" x14ac:dyDescent="0.25">
      <c r="B70" t="s">
        <v>156</v>
      </c>
      <c r="C70" s="14">
        <v>9116</v>
      </c>
      <c r="D70" s="14">
        <v>8886</v>
      </c>
      <c r="E70" s="14">
        <v>9336</v>
      </c>
      <c r="F70" s="14">
        <v>12200</v>
      </c>
      <c r="G70" s="14">
        <v>11112</v>
      </c>
      <c r="H70" s="14">
        <v>9615</v>
      </c>
      <c r="I70" s="132">
        <v>11596</v>
      </c>
      <c r="J70" s="132">
        <v>16855</v>
      </c>
      <c r="K70" s="132">
        <v>18590</v>
      </c>
      <c r="L70" s="132">
        <v>20331</v>
      </c>
    </row>
    <row r="71" spans="1:12" x14ac:dyDescent="0.25">
      <c r="B71" t="s">
        <v>157</v>
      </c>
      <c r="C71" s="14">
        <v>5818</v>
      </c>
      <c r="D71" s="14">
        <v>7199</v>
      </c>
      <c r="E71" s="14">
        <v>8490</v>
      </c>
      <c r="F71" s="14">
        <v>8678</v>
      </c>
      <c r="G71" s="14">
        <v>6928</v>
      </c>
      <c r="H71" s="14">
        <v>6008</v>
      </c>
      <c r="I71" s="132">
        <v>6374</v>
      </c>
      <c r="J71" s="132">
        <v>7028</v>
      </c>
      <c r="K71" s="132">
        <v>7459</v>
      </c>
      <c r="L71" s="132">
        <v>8280</v>
      </c>
    </row>
    <row r="72" spans="1:12" x14ac:dyDescent="0.25">
      <c r="B72" t="s">
        <v>158</v>
      </c>
      <c r="C72" s="14">
        <v>4528</v>
      </c>
      <c r="D72" s="14">
        <v>4654</v>
      </c>
      <c r="E72" s="14">
        <v>6548</v>
      </c>
      <c r="F72" s="14">
        <v>8735</v>
      </c>
      <c r="G72" s="14">
        <v>7911</v>
      </c>
      <c r="H72" s="14">
        <v>12852</v>
      </c>
      <c r="I72" s="132">
        <v>11118</v>
      </c>
      <c r="J72" s="132">
        <v>11273</v>
      </c>
      <c r="K72" s="132">
        <v>12013</v>
      </c>
      <c r="L72" s="132">
        <v>20615</v>
      </c>
    </row>
    <row r="73" spans="1:12" x14ac:dyDescent="0.25">
      <c r="B73" t="s">
        <v>159</v>
      </c>
      <c r="C73" s="14">
        <v>-1096</v>
      </c>
      <c r="D73" s="14">
        <v>20566</v>
      </c>
      <c r="E73" s="14">
        <v>24614</v>
      </c>
      <c r="F73" s="14">
        <v>29130</v>
      </c>
      <c r="G73" s="14">
        <v>27859</v>
      </c>
      <c r="H73" s="14">
        <v>29080</v>
      </c>
      <c r="I73" s="132">
        <v>29242</v>
      </c>
      <c r="J73" s="132">
        <v>34685</v>
      </c>
      <c r="K73" s="132">
        <v>39060</v>
      </c>
      <c r="L73" s="132">
        <v>44645</v>
      </c>
    </row>
    <row r="74" spans="1:12" x14ac:dyDescent="0.25">
      <c r="B74" t="s">
        <v>160</v>
      </c>
      <c r="C74" s="14">
        <v>46928</v>
      </c>
      <c r="D74" s="14">
        <v>32599</v>
      </c>
      <c r="E74" s="14">
        <v>40913</v>
      </c>
      <c r="F74" s="14">
        <v>51135</v>
      </c>
      <c r="G74" s="14">
        <v>56150</v>
      </c>
      <c r="H74" s="14">
        <v>49383</v>
      </c>
      <c r="I74" s="132">
        <v>51277</v>
      </c>
      <c r="J74" s="132">
        <v>68061</v>
      </c>
      <c r="K74" s="132">
        <v>86222</v>
      </c>
      <c r="L74" s="132">
        <v>97900</v>
      </c>
    </row>
    <row r="75" spans="1:12" x14ac:dyDescent="0.25">
      <c r="B75" s="31" t="s">
        <v>50</v>
      </c>
      <c r="C75" s="35">
        <v>99852</v>
      </c>
      <c r="D75" s="35">
        <v>113835</v>
      </c>
      <c r="E75" s="35">
        <v>136369</v>
      </c>
      <c r="F75" s="35">
        <v>161889</v>
      </c>
      <c r="G75" s="35">
        <v>165716</v>
      </c>
      <c r="H75" s="35">
        <v>164968</v>
      </c>
      <c r="I75" s="128">
        <v>172388</v>
      </c>
      <c r="J75" s="128">
        <v>204283</v>
      </c>
      <c r="K75" s="128">
        <v>234720</v>
      </c>
      <c r="L75" s="128">
        <v>276015</v>
      </c>
    </row>
    <row r="77" spans="1:12" x14ac:dyDescent="0.25">
      <c r="I77" s="96"/>
      <c r="J77" s="96"/>
      <c r="K77" s="96"/>
      <c r="L77" s="96"/>
    </row>
    <row r="78" spans="1:12" x14ac:dyDescent="0.25">
      <c r="A78" t="s">
        <v>1</v>
      </c>
      <c r="B78" s="52" t="s">
        <v>190</v>
      </c>
      <c r="C78" s="126">
        <f t="shared" ref="C78:L78" si="3">C4</f>
        <v>2016</v>
      </c>
      <c r="D78" s="126">
        <f t="shared" si="3"/>
        <v>2017</v>
      </c>
      <c r="E78" s="126">
        <f t="shared" si="3"/>
        <v>2018</v>
      </c>
      <c r="F78" s="126">
        <f t="shared" si="3"/>
        <v>2019</v>
      </c>
      <c r="G78" s="126">
        <f t="shared" si="3"/>
        <v>2020</v>
      </c>
      <c r="H78" s="126">
        <f t="shared" si="3"/>
        <v>2021</v>
      </c>
      <c r="I78" s="126">
        <f t="shared" si="3"/>
        <v>2022</v>
      </c>
      <c r="J78" s="126">
        <f t="shared" si="3"/>
        <v>2023</v>
      </c>
      <c r="K78" s="126">
        <f t="shared" si="3"/>
        <v>2024</v>
      </c>
      <c r="L78" s="126">
        <f t="shared" si="3"/>
        <v>2025</v>
      </c>
    </row>
    <row r="79" spans="1:12" x14ac:dyDescent="0.25">
      <c r="B79" s="9" t="s">
        <v>53</v>
      </c>
      <c r="I79" s="28"/>
      <c r="J79" s="28"/>
      <c r="K79" s="28"/>
      <c r="L79" s="28"/>
    </row>
    <row r="80" spans="1:12" x14ac:dyDescent="0.25">
      <c r="B80" t="s">
        <v>126</v>
      </c>
      <c r="C80" s="14">
        <v>7595</v>
      </c>
      <c r="D80" s="14">
        <v>7911</v>
      </c>
      <c r="E80" s="14">
        <v>10159</v>
      </c>
      <c r="F80" s="14">
        <v>11112</v>
      </c>
      <c r="G80" s="14">
        <v>7774</v>
      </c>
      <c r="H80" s="14">
        <v>7588</v>
      </c>
      <c r="I80" s="30">
        <v>10515</v>
      </c>
      <c r="J80" s="30">
        <v>15642</v>
      </c>
      <c r="K80" s="30">
        <v>17541</v>
      </c>
      <c r="L80" s="30">
        <v>22050</v>
      </c>
    </row>
    <row r="81" spans="2:12" x14ac:dyDescent="0.25">
      <c r="B81" t="s">
        <v>46</v>
      </c>
      <c r="C81" s="14">
        <v>177</v>
      </c>
      <c r="D81" s="14">
        <v>-8609</v>
      </c>
      <c r="E81" s="14">
        <v>-11918</v>
      </c>
      <c r="F81" s="14">
        <v>-13712</v>
      </c>
      <c r="G81" s="14">
        <v>-1516</v>
      </c>
      <c r="H81" s="14">
        <v>4896</v>
      </c>
      <c r="I81" s="30">
        <v>-2506</v>
      </c>
      <c r="J81" s="30">
        <v>-21702</v>
      </c>
      <c r="K81" s="30">
        <v>-21777</v>
      </c>
      <c r="L81" s="30">
        <v>-20952</v>
      </c>
    </row>
    <row r="82" spans="2:12" x14ac:dyDescent="0.25">
      <c r="B82" t="s">
        <v>47</v>
      </c>
      <c r="C82" s="14">
        <v>-1113</v>
      </c>
      <c r="D82" s="14">
        <v>241</v>
      </c>
      <c r="E82" s="14">
        <v>-256</v>
      </c>
      <c r="F82" s="14">
        <v>-2276</v>
      </c>
      <c r="G82" s="14">
        <v>1316</v>
      </c>
      <c r="H82" s="14">
        <v>226</v>
      </c>
      <c r="I82" s="30">
        <v>-2173</v>
      </c>
      <c r="J82" s="30">
        <v>-5252</v>
      </c>
      <c r="K82" s="30">
        <v>-1753</v>
      </c>
      <c r="L82" s="30">
        <v>-1646</v>
      </c>
    </row>
    <row r="83" spans="2:12" x14ac:dyDescent="0.25">
      <c r="B83" t="s">
        <v>127</v>
      </c>
      <c r="C83" s="14">
        <v>1939</v>
      </c>
      <c r="D83" s="14">
        <v>2645</v>
      </c>
      <c r="E83" s="14">
        <v>5361</v>
      </c>
      <c r="F83" s="14">
        <v>3466</v>
      </c>
      <c r="G83" s="14">
        <v>-6775</v>
      </c>
      <c r="H83" s="14">
        <v>7049</v>
      </c>
      <c r="I83" s="30">
        <v>4972</v>
      </c>
      <c r="J83" s="30">
        <v>7013</v>
      </c>
      <c r="K83" s="30">
        <v>4354</v>
      </c>
      <c r="L83" s="30">
        <v>8485</v>
      </c>
    </row>
    <row r="84" spans="2:12" x14ac:dyDescent="0.25">
      <c r="B84" t="s">
        <v>128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30">
        <v>0</v>
      </c>
      <c r="J84" s="30">
        <v>0</v>
      </c>
      <c r="K84" s="30">
        <v>0</v>
      </c>
      <c r="L84" s="30">
        <v>0</v>
      </c>
    </row>
    <row r="85" spans="2:12" x14ac:dyDescent="0.25">
      <c r="B85" t="s">
        <v>129</v>
      </c>
      <c r="C85" s="14">
        <v>-4241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30">
        <v>0</v>
      </c>
      <c r="J85" s="30">
        <v>0</v>
      </c>
      <c r="K85" s="30">
        <v>0</v>
      </c>
      <c r="L85" s="30">
        <v>0</v>
      </c>
    </row>
    <row r="86" spans="2:12" x14ac:dyDescent="0.25">
      <c r="B86" t="s">
        <v>130</v>
      </c>
      <c r="C86" s="14">
        <v>-3238</v>
      </c>
      <c r="D86" s="14">
        <v>-5723</v>
      </c>
      <c r="E86" s="14">
        <v>-6813</v>
      </c>
      <c r="F86" s="14">
        <v>-12522</v>
      </c>
      <c r="G86" s="14">
        <v>-6975</v>
      </c>
      <c r="H86" s="14">
        <v>12171</v>
      </c>
      <c r="I86" s="30">
        <v>293</v>
      </c>
      <c r="J86" s="30">
        <v>-19941</v>
      </c>
      <c r="K86" s="30">
        <v>-19176</v>
      </c>
      <c r="L86" s="30">
        <v>-14113</v>
      </c>
    </row>
    <row r="87" spans="2:12" x14ac:dyDescent="0.25">
      <c r="B87" t="s">
        <v>131</v>
      </c>
      <c r="C87" s="14">
        <v>-1973</v>
      </c>
      <c r="D87" s="14">
        <v>-2005</v>
      </c>
      <c r="E87" s="14">
        <v>-2664</v>
      </c>
      <c r="F87" s="14">
        <v>-2937</v>
      </c>
      <c r="G87" s="14">
        <v>-2257</v>
      </c>
      <c r="H87" s="14">
        <v>-1850</v>
      </c>
      <c r="I87" s="30">
        <v>-1560</v>
      </c>
      <c r="J87" s="30">
        <v>-2775</v>
      </c>
      <c r="K87" s="30">
        <v>-3996</v>
      </c>
      <c r="L87" s="30">
        <v>-4761</v>
      </c>
    </row>
    <row r="88" spans="2:12" x14ac:dyDescent="0.25">
      <c r="B88" s="50" t="s">
        <v>54</v>
      </c>
      <c r="C88" s="127">
        <v>2384</v>
      </c>
      <c r="D88" s="127">
        <v>183</v>
      </c>
      <c r="E88" s="127">
        <v>682</v>
      </c>
      <c r="F88" s="127">
        <v>-4347</v>
      </c>
      <c r="G88" s="127">
        <v>-1458</v>
      </c>
      <c r="H88" s="127">
        <v>17909</v>
      </c>
      <c r="I88" s="131">
        <v>9248</v>
      </c>
      <c r="J88" s="131">
        <v>-7074</v>
      </c>
      <c r="K88" s="131">
        <v>-5631</v>
      </c>
      <c r="L88" s="131">
        <v>3176</v>
      </c>
    </row>
    <row r="89" spans="2:12" x14ac:dyDescent="0.25">
      <c r="C89" s="14"/>
      <c r="D89" s="14"/>
      <c r="E89" s="14"/>
      <c r="F89" s="14"/>
      <c r="G89" s="14"/>
      <c r="H89" s="14"/>
      <c r="I89" s="30"/>
      <c r="J89" s="30"/>
      <c r="K89" s="30"/>
      <c r="L89" s="30"/>
    </row>
    <row r="90" spans="2:12" x14ac:dyDescent="0.25">
      <c r="B90" s="9" t="s">
        <v>55</v>
      </c>
      <c r="C90" s="14"/>
      <c r="D90" s="14"/>
      <c r="E90" s="14"/>
      <c r="F90" s="14"/>
      <c r="G90" s="14"/>
      <c r="H90" s="14"/>
      <c r="I90" s="30"/>
      <c r="J90" s="30"/>
      <c r="K90" s="30"/>
      <c r="L90" s="30"/>
    </row>
    <row r="91" spans="2:12" x14ac:dyDescent="0.25">
      <c r="B91" t="s">
        <v>56</v>
      </c>
      <c r="C91" s="14">
        <v>-4172</v>
      </c>
      <c r="D91" s="14">
        <v>-5026</v>
      </c>
      <c r="E91" s="14">
        <v>-5906</v>
      </c>
      <c r="F91" s="14">
        <v>-7340</v>
      </c>
      <c r="G91" s="14">
        <v>-6896</v>
      </c>
      <c r="H91" s="14">
        <v>-5989</v>
      </c>
      <c r="I91" s="30">
        <v>-6040</v>
      </c>
      <c r="J91" s="30">
        <v>-6305</v>
      </c>
      <c r="K91" s="30">
        <v>-9946</v>
      </c>
      <c r="L91" s="30">
        <v>-10392</v>
      </c>
    </row>
    <row r="92" spans="2:12" x14ac:dyDescent="0.25">
      <c r="B92" t="s">
        <v>57</v>
      </c>
      <c r="C92" s="14">
        <v>59</v>
      </c>
      <c r="D92" s="14">
        <v>63</v>
      </c>
      <c r="E92" s="14">
        <v>115</v>
      </c>
      <c r="F92" s="14">
        <v>142</v>
      </c>
      <c r="G92" s="14">
        <v>102</v>
      </c>
      <c r="H92" s="14">
        <v>1364</v>
      </c>
      <c r="I92" s="30">
        <v>120</v>
      </c>
      <c r="J92" s="30">
        <v>138</v>
      </c>
      <c r="K92" s="30">
        <v>273</v>
      </c>
      <c r="L92" s="30">
        <v>583</v>
      </c>
    </row>
    <row r="93" spans="2:12" x14ac:dyDescent="0.25">
      <c r="B93" t="s">
        <v>58</v>
      </c>
      <c r="C93" s="14">
        <v>-87898</v>
      </c>
      <c r="D93" s="14">
        <v>-132173</v>
      </c>
      <c r="E93" s="14">
        <v>-155159</v>
      </c>
      <c r="F93" s="14">
        <v>-196474</v>
      </c>
      <c r="G93" s="14">
        <v>-198568</v>
      </c>
      <c r="H93" s="14">
        <v>-120055</v>
      </c>
      <c r="I93" s="30">
        <v>-65421</v>
      </c>
      <c r="J93" s="30">
        <v>-50165</v>
      </c>
      <c r="K93" s="30">
        <v>-49927</v>
      </c>
      <c r="L93" s="30">
        <v>-90595</v>
      </c>
    </row>
    <row r="94" spans="2:12" x14ac:dyDescent="0.25">
      <c r="B94" t="s">
        <v>59</v>
      </c>
      <c r="C94" s="14">
        <v>86436</v>
      </c>
      <c r="D94" s="14">
        <v>130940</v>
      </c>
      <c r="E94" s="14">
        <v>154631</v>
      </c>
      <c r="F94" s="14">
        <v>195898</v>
      </c>
      <c r="G94" s="14">
        <v>198132</v>
      </c>
      <c r="H94" s="14">
        <v>111749</v>
      </c>
      <c r="I94" s="30">
        <v>65127</v>
      </c>
      <c r="J94" s="30">
        <v>46269</v>
      </c>
      <c r="K94" s="30">
        <v>50919</v>
      </c>
      <c r="L94" s="30">
        <v>85257</v>
      </c>
    </row>
    <row r="95" spans="2:12" x14ac:dyDescent="0.25">
      <c r="B95" t="s">
        <v>60</v>
      </c>
      <c r="C95" s="14">
        <v>311</v>
      </c>
      <c r="D95" s="14">
        <v>346</v>
      </c>
      <c r="E95" s="14">
        <v>254</v>
      </c>
      <c r="F95" s="14">
        <v>314</v>
      </c>
      <c r="G95" s="14">
        <v>372</v>
      </c>
      <c r="H95" s="14">
        <v>431</v>
      </c>
      <c r="I95" s="30">
        <v>420</v>
      </c>
      <c r="J95" s="30">
        <v>464</v>
      </c>
      <c r="K95" s="30">
        <v>703</v>
      </c>
      <c r="L95" s="30">
        <v>884</v>
      </c>
    </row>
    <row r="96" spans="2:12" x14ac:dyDescent="0.25">
      <c r="B96" t="s">
        <v>61</v>
      </c>
      <c r="C96" s="14">
        <v>208</v>
      </c>
      <c r="D96" s="14">
        <v>409</v>
      </c>
      <c r="E96" s="14">
        <v>316</v>
      </c>
      <c r="F96" s="14">
        <v>466</v>
      </c>
      <c r="G96" s="14">
        <v>722</v>
      </c>
      <c r="H96" s="14">
        <v>577</v>
      </c>
      <c r="I96" s="30">
        <v>1247</v>
      </c>
      <c r="J96" s="30">
        <v>1397</v>
      </c>
      <c r="K96" s="30">
        <v>1213</v>
      </c>
      <c r="L96" s="30">
        <v>1374</v>
      </c>
    </row>
    <row r="97" spans="2:12" x14ac:dyDescent="0.25">
      <c r="B97" t="s">
        <v>62</v>
      </c>
      <c r="C97" s="14">
        <v>-147</v>
      </c>
      <c r="D97" s="14">
        <v>-647</v>
      </c>
      <c r="E97" s="14">
        <v>-704</v>
      </c>
      <c r="F97" s="14">
        <v>-319</v>
      </c>
      <c r="G97" s="14">
        <v>-418</v>
      </c>
      <c r="H97" s="14">
        <v>-359</v>
      </c>
      <c r="I97" s="30">
        <v>-222</v>
      </c>
      <c r="J97" s="30">
        <v>-62</v>
      </c>
      <c r="K97" s="30">
        <v>-249</v>
      </c>
      <c r="L97" s="30">
        <v>-29</v>
      </c>
    </row>
    <row r="98" spans="2:12" x14ac:dyDescent="0.25">
      <c r="B98" t="s">
        <v>63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30">
        <v>0</v>
      </c>
      <c r="J98" s="30">
        <v>0</v>
      </c>
      <c r="K98" s="30">
        <v>0</v>
      </c>
      <c r="L98" s="30">
        <v>0</v>
      </c>
    </row>
    <row r="99" spans="2:12" x14ac:dyDescent="0.25">
      <c r="B99" t="s">
        <v>64</v>
      </c>
      <c r="C99" s="14">
        <v>0</v>
      </c>
      <c r="D99" s="14">
        <v>88</v>
      </c>
      <c r="E99" s="14">
        <v>1677</v>
      </c>
      <c r="F99" s="14">
        <v>717</v>
      </c>
      <c r="G99" s="14">
        <v>175</v>
      </c>
      <c r="H99" s="14">
        <v>316</v>
      </c>
      <c r="I99" s="30">
        <v>617</v>
      </c>
      <c r="J99" s="30">
        <v>1863</v>
      </c>
      <c r="K99" s="30">
        <v>1043</v>
      </c>
      <c r="L99" s="30">
        <v>620</v>
      </c>
    </row>
    <row r="100" spans="2:12" x14ac:dyDescent="0.25">
      <c r="B100" t="s">
        <v>65</v>
      </c>
      <c r="C100" s="14">
        <v>-208</v>
      </c>
      <c r="D100" s="14">
        <v>-83</v>
      </c>
      <c r="E100" s="14">
        <v>-401</v>
      </c>
      <c r="F100" s="14">
        <v>0</v>
      </c>
      <c r="G100" s="14">
        <v>-59</v>
      </c>
      <c r="H100" s="14">
        <v>0</v>
      </c>
      <c r="I100" s="30">
        <v>-42</v>
      </c>
      <c r="J100" s="30">
        <v>-587</v>
      </c>
      <c r="K100" s="30">
        <v>-53</v>
      </c>
      <c r="L100" s="30">
        <v>0</v>
      </c>
    </row>
    <row r="101" spans="2:12" x14ac:dyDescent="0.25">
      <c r="B101" t="s">
        <v>66</v>
      </c>
      <c r="C101" s="14">
        <v>0</v>
      </c>
      <c r="D101" s="14">
        <v>0</v>
      </c>
      <c r="E101" s="14">
        <v>0</v>
      </c>
      <c r="F101" s="14">
        <v>0</v>
      </c>
      <c r="G101" s="14">
        <v>6</v>
      </c>
      <c r="H101" s="14">
        <v>-262</v>
      </c>
      <c r="I101" s="30">
        <v>-552</v>
      </c>
      <c r="J101" s="30">
        <v>-93</v>
      </c>
      <c r="K101" s="30">
        <v>485</v>
      </c>
      <c r="L101" s="30">
        <v>-244</v>
      </c>
    </row>
    <row r="102" spans="2:12" x14ac:dyDescent="0.25">
      <c r="B102" t="s">
        <v>67</v>
      </c>
      <c r="C102" s="14">
        <v>-94</v>
      </c>
      <c r="D102" s="14">
        <v>209</v>
      </c>
      <c r="E102" s="14">
        <v>-290</v>
      </c>
      <c r="F102" s="14">
        <v>-577</v>
      </c>
      <c r="G102" s="14">
        <v>-437</v>
      </c>
      <c r="H102" s="14">
        <v>-7457</v>
      </c>
      <c r="I102" s="30">
        <v>1494</v>
      </c>
      <c r="J102" s="30">
        <v>-1786</v>
      </c>
      <c r="K102" s="30">
        <v>-78</v>
      </c>
      <c r="L102" s="30">
        <v>-6075</v>
      </c>
    </row>
    <row r="103" spans="2:12" x14ac:dyDescent="0.25">
      <c r="B103" s="50" t="s">
        <v>68</v>
      </c>
      <c r="C103" s="127">
        <v>-5505</v>
      </c>
      <c r="D103" s="127">
        <v>-5874</v>
      </c>
      <c r="E103" s="127">
        <v>-5467</v>
      </c>
      <c r="F103" s="127">
        <v>-7173</v>
      </c>
      <c r="G103" s="127">
        <v>-6869</v>
      </c>
      <c r="H103" s="127">
        <v>-19685</v>
      </c>
      <c r="I103" s="131">
        <v>-3252</v>
      </c>
      <c r="J103" s="131">
        <v>-8867</v>
      </c>
      <c r="K103" s="131">
        <v>-5617</v>
      </c>
      <c r="L103" s="131">
        <v>-18617</v>
      </c>
    </row>
    <row r="104" spans="2:12" x14ac:dyDescent="0.25">
      <c r="C104" s="14"/>
      <c r="D104" s="14"/>
      <c r="E104" s="14"/>
      <c r="F104" s="14"/>
      <c r="G104" s="14"/>
      <c r="H104" s="14"/>
      <c r="I104" s="30"/>
      <c r="J104" s="30"/>
      <c r="K104" s="30"/>
      <c r="L104" s="30"/>
    </row>
    <row r="105" spans="2:12" x14ac:dyDescent="0.25">
      <c r="B105" s="9" t="s">
        <v>69</v>
      </c>
      <c r="C105" s="14"/>
      <c r="D105" s="14"/>
      <c r="E105" s="14"/>
      <c r="F105" s="14"/>
      <c r="G105" s="14"/>
      <c r="H105" s="14"/>
      <c r="I105" s="30"/>
      <c r="J105" s="30"/>
      <c r="K105" s="30"/>
      <c r="L105" s="30"/>
    </row>
    <row r="106" spans="2:12" x14ac:dyDescent="0.25">
      <c r="B106" t="s">
        <v>70</v>
      </c>
      <c r="C106" s="14">
        <v>18</v>
      </c>
      <c r="D106" s="14">
        <v>12</v>
      </c>
      <c r="E106" s="14">
        <v>4</v>
      </c>
      <c r="F106" s="14">
        <v>1</v>
      </c>
      <c r="G106" s="14">
        <v>1243</v>
      </c>
      <c r="H106" s="14">
        <v>1</v>
      </c>
      <c r="I106" s="30">
        <v>1</v>
      </c>
      <c r="J106" s="30">
        <v>1</v>
      </c>
      <c r="K106" s="30">
        <v>1</v>
      </c>
      <c r="L106" s="30">
        <v>1</v>
      </c>
    </row>
    <row r="107" spans="2:12" x14ac:dyDescent="0.25">
      <c r="B107" t="s">
        <v>71</v>
      </c>
      <c r="C107" s="14">
        <v>0</v>
      </c>
      <c r="D107" s="14">
        <v>0</v>
      </c>
      <c r="E107" s="14">
        <v>0</v>
      </c>
      <c r="F107" s="14">
        <v>71389</v>
      </c>
      <c r="G107" s="14">
        <v>52618</v>
      </c>
      <c r="H107" s="14">
        <v>38100</v>
      </c>
      <c r="I107" s="30">
        <v>53880</v>
      </c>
      <c r="J107" s="30">
        <v>55622</v>
      </c>
      <c r="K107" s="30">
        <v>61308</v>
      </c>
      <c r="L107" s="30">
        <v>82590</v>
      </c>
    </row>
    <row r="108" spans="2:12" x14ac:dyDescent="0.25">
      <c r="B108" t="s">
        <v>72</v>
      </c>
      <c r="C108" s="14">
        <v>0</v>
      </c>
      <c r="D108" s="14">
        <v>0</v>
      </c>
      <c r="E108" s="14">
        <v>0</v>
      </c>
      <c r="F108" s="14">
        <v>-56352</v>
      </c>
      <c r="G108" s="14">
        <v>-44044</v>
      </c>
      <c r="H108" s="14">
        <v>-37505</v>
      </c>
      <c r="I108" s="30">
        <v>-57223</v>
      </c>
      <c r="J108" s="30">
        <v>-37056</v>
      </c>
      <c r="K108" s="30">
        <v>-46805</v>
      </c>
      <c r="L108" s="30">
        <v>-64689</v>
      </c>
    </row>
    <row r="109" spans="2:12" x14ac:dyDescent="0.25">
      <c r="B109" t="s">
        <v>73</v>
      </c>
      <c r="C109" s="14">
        <v>-443</v>
      </c>
      <c r="D109" s="14">
        <v>-471</v>
      </c>
      <c r="E109" s="14">
        <v>-521</v>
      </c>
      <c r="F109" s="14">
        <v>-723</v>
      </c>
      <c r="G109" s="14">
        <v>-624</v>
      </c>
      <c r="H109" s="14">
        <v>-809</v>
      </c>
      <c r="I109" s="30">
        <v>-680</v>
      </c>
      <c r="J109" s="30">
        <v>-734</v>
      </c>
      <c r="K109" s="30">
        <v>-597</v>
      </c>
      <c r="L109" s="30">
        <v>-436</v>
      </c>
    </row>
    <row r="110" spans="2:12" x14ac:dyDescent="0.25">
      <c r="B110" t="s">
        <v>74</v>
      </c>
      <c r="C110" s="14">
        <v>-932</v>
      </c>
      <c r="D110" s="14">
        <v>-936</v>
      </c>
      <c r="E110" s="14">
        <v>-963</v>
      </c>
      <c r="F110" s="14">
        <v>-1134</v>
      </c>
      <c r="G110" s="14">
        <v>-1398</v>
      </c>
      <c r="H110" s="14">
        <v>-271</v>
      </c>
      <c r="I110" s="30">
        <v>-1037</v>
      </c>
      <c r="J110" s="30">
        <v>-1522</v>
      </c>
      <c r="K110" s="30">
        <v>-2247</v>
      </c>
      <c r="L110" s="30">
        <v>-2806</v>
      </c>
    </row>
    <row r="111" spans="2:12" x14ac:dyDescent="0.25">
      <c r="B111" t="s">
        <v>75</v>
      </c>
      <c r="C111" s="14">
        <v>0</v>
      </c>
      <c r="D111" s="14">
        <v>0</v>
      </c>
      <c r="E111" s="14">
        <v>0</v>
      </c>
      <c r="F111" s="14">
        <v>0</v>
      </c>
      <c r="G111" s="14">
        <v>-558</v>
      </c>
      <c r="H111" s="14">
        <v>-553</v>
      </c>
      <c r="I111" s="30">
        <v>-583</v>
      </c>
      <c r="J111" s="30">
        <v>-751</v>
      </c>
      <c r="K111" s="30">
        <v>-786</v>
      </c>
      <c r="L111" s="30">
        <v>-887</v>
      </c>
    </row>
    <row r="112" spans="2:12" x14ac:dyDescent="0.25">
      <c r="B112" t="s">
        <v>76</v>
      </c>
      <c r="C112" s="14">
        <v>4324</v>
      </c>
      <c r="D112" s="14">
        <v>7503</v>
      </c>
      <c r="E112" s="14">
        <v>7794</v>
      </c>
      <c r="F112" s="14">
        <v>12</v>
      </c>
      <c r="G112" s="14">
        <v>-304</v>
      </c>
      <c r="H112" s="14">
        <v>1444</v>
      </c>
      <c r="I112" s="30">
        <v>-240</v>
      </c>
      <c r="J112" s="30">
        <v>386</v>
      </c>
      <c r="K112" s="30">
        <v>1408</v>
      </c>
      <c r="L112" s="30">
        <v>2062</v>
      </c>
    </row>
    <row r="113" spans="2:12" x14ac:dyDescent="0.25">
      <c r="B113" s="50" t="s">
        <v>77</v>
      </c>
      <c r="C113" s="127">
        <v>2967</v>
      </c>
      <c r="D113" s="127">
        <v>6108</v>
      </c>
      <c r="E113" s="127">
        <v>6314</v>
      </c>
      <c r="F113" s="127">
        <v>13193</v>
      </c>
      <c r="G113" s="127">
        <v>6933</v>
      </c>
      <c r="H113" s="127">
        <v>407</v>
      </c>
      <c r="I113" s="131">
        <v>-5882</v>
      </c>
      <c r="J113" s="131">
        <v>15946</v>
      </c>
      <c r="K113" s="131">
        <v>12282</v>
      </c>
      <c r="L113" s="131">
        <v>15835</v>
      </c>
    </row>
    <row r="114" spans="2:12" x14ac:dyDescent="0.25">
      <c r="C114" s="14"/>
      <c r="D114" s="14"/>
      <c r="E114" s="14"/>
      <c r="F114" s="14"/>
      <c r="G114" s="14"/>
      <c r="H114" s="14"/>
      <c r="I114" s="30"/>
      <c r="J114" s="30"/>
      <c r="K114" s="30"/>
      <c r="L114" s="30"/>
    </row>
    <row r="115" spans="2:12" x14ac:dyDescent="0.25">
      <c r="B115" s="26" t="s">
        <v>78</v>
      </c>
      <c r="C115" s="115">
        <v>-154</v>
      </c>
      <c r="D115" s="115">
        <v>417</v>
      </c>
      <c r="E115" s="115">
        <v>1529</v>
      </c>
      <c r="F115" s="115">
        <v>1673</v>
      </c>
      <c r="G115" s="115">
        <v>-1394</v>
      </c>
      <c r="H115" s="115">
        <v>-1369</v>
      </c>
      <c r="I115" s="35">
        <v>114</v>
      </c>
      <c r="J115" s="35">
        <v>5</v>
      </c>
      <c r="K115" s="35">
        <v>1034</v>
      </c>
      <c r="L115" s="35">
        <v>394</v>
      </c>
    </row>
  </sheetData>
  <mergeCells count="1">
    <mergeCell ref="B2:L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1BD2-C5CA-46E6-A631-98FA32FC583C}">
  <sheetPr>
    <tabColor rgb="FFC00000"/>
  </sheetPr>
  <dimension ref="A1:K93"/>
  <sheetViews>
    <sheetView zoomScaleNormal="100" zoomScalePageLayoutView="120" workbookViewId="0">
      <pane xSplit="1" ySplit="1" topLeftCell="B2" activePane="bottomRight" state="frozen"/>
      <selection pane="topRight" activeCell="C4" sqref="C4"/>
      <selection pane="bottomLeft" activeCell="C4" sqref="C4"/>
      <selection pane="bottomRight" activeCell="C1" sqref="C1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86</v>
      </c>
      <c r="B1" s="1" t="s">
        <v>87</v>
      </c>
      <c r="E1" s="168" t="str">
        <f>IF(B2&lt;&gt;B3, "A NEW VERSION OF THE WORKSHEET IS AVAILABLE", "")</f>
        <v/>
      </c>
      <c r="F1" s="168"/>
      <c r="G1" s="168"/>
      <c r="H1" s="168"/>
      <c r="I1" s="168"/>
      <c r="J1" s="168"/>
      <c r="K1" s="168"/>
    </row>
    <row r="2" spans="1:11" x14ac:dyDescent="0.25">
      <c r="A2" s="1" t="s">
        <v>88</v>
      </c>
      <c r="B2" s="2">
        <v>2.1</v>
      </c>
      <c r="E2" s="169" t="s">
        <v>89</v>
      </c>
      <c r="F2" s="169"/>
      <c r="G2" s="169"/>
      <c r="H2" s="169"/>
      <c r="I2" s="169"/>
      <c r="J2" s="169"/>
      <c r="K2" s="169"/>
    </row>
    <row r="3" spans="1:11" x14ac:dyDescent="0.25">
      <c r="A3" s="1" t="s">
        <v>90</v>
      </c>
      <c r="B3" s="2">
        <v>2.1</v>
      </c>
    </row>
    <row r="4" spans="1:11" x14ac:dyDescent="0.25">
      <c r="A4" s="1"/>
    </row>
    <row r="5" spans="1:11" x14ac:dyDescent="0.25">
      <c r="A5" s="1" t="s">
        <v>91</v>
      </c>
    </row>
    <row r="6" spans="1:11" x14ac:dyDescent="0.25">
      <c r="A6" s="2" t="s">
        <v>92</v>
      </c>
      <c r="B6" s="2">
        <f>IF(B9&gt;0, B9/B8, 0)</f>
        <v>124.35965941190713</v>
      </c>
    </row>
    <row r="7" spans="1:11" x14ac:dyDescent="0.25">
      <c r="A7" s="2" t="s">
        <v>93</v>
      </c>
      <c r="B7" s="3">
        <v>5</v>
      </c>
    </row>
    <row r="8" spans="1:11" x14ac:dyDescent="0.25">
      <c r="A8" s="2" t="s">
        <v>94</v>
      </c>
      <c r="B8" s="3">
        <v>3717.1</v>
      </c>
    </row>
    <row r="9" spans="1:11" x14ac:dyDescent="0.25">
      <c r="A9" s="2" t="s">
        <v>95</v>
      </c>
      <c r="B9" s="3">
        <v>462257.29</v>
      </c>
    </row>
    <row r="15" spans="1:11" x14ac:dyDescent="0.25">
      <c r="A15" s="1" t="s">
        <v>96</v>
      </c>
    </row>
    <row r="16" spans="1:11" s="6" customFormat="1" x14ac:dyDescent="0.25">
      <c r="A16" s="4" t="s">
        <v>97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s="7" customFormat="1" x14ac:dyDescent="0.25">
      <c r="A17" s="7" t="s">
        <v>3</v>
      </c>
      <c r="B17" s="3">
        <v>75841.42</v>
      </c>
      <c r="C17" s="3">
        <v>83773.05</v>
      </c>
      <c r="D17" s="3">
        <v>92093.95</v>
      </c>
      <c r="E17" s="3">
        <v>104720.68</v>
      </c>
      <c r="F17" s="3">
        <v>75381.929999999993</v>
      </c>
      <c r="G17" s="3">
        <v>74277.78</v>
      </c>
      <c r="H17" s="3">
        <v>90170.57</v>
      </c>
      <c r="I17" s="3">
        <v>121268.55</v>
      </c>
      <c r="J17" s="3">
        <v>139078.26999999999</v>
      </c>
      <c r="K17" s="3">
        <v>159210.82</v>
      </c>
    </row>
    <row r="18" spans="1:11" s="7" customFormat="1" x14ac:dyDescent="0.25">
      <c r="A18" s="2" t="s">
        <v>98</v>
      </c>
      <c r="B18" s="3">
        <v>45584.35</v>
      </c>
      <c r="C18" s="3">
        <v>50655.199999999997</v>
      </c>
      <c r="D18" s="3">
        <v>53457.29</v>
      </c>
      <c r="E18" s="3">
        <v>61881.19</v>
      </c>
      <c r="F18" s="3">
        <v>37595.300000000003</v>
      </c>
      <c r="G18" s="3">
        <v>38271.199999999997</v>
      </c>
      <c r="H18" s="3">
        <v>52664.85</v>
      </c>
      <c r="I18" s="3">
        <v>76019.87</v>
      </c>
      <c r="J18" s="3">
        <v>85070.07</v>
      </c>
      <c r="K18" s="3">
        <v>95754.9</v>
      </c>
    </row>
    <row r="19" spans="1:11" s="7" customFormat="1" x14ac:dyDescent="0.25">
      <c r="A19" s="2" t="s">
        <v>99</v>
      </c>
      <c r="B19" s="3">
        <v>458.51</v>
      </c>
      <c r="C19" s="3">
        <v>13.83</v>
      </c>
      <c r="D19" s="3">
        <v>-83.33</v>
      </c>
      <c r="E19" s="3">
        <v>1730.48</v>
      </c>
      <c r="F19" s="3">
        <v>-826.62</v>
      </c>
      <c r="G19" s="3">
        <v>-135.59</v>
      </c>
      <c r="H19" s="3">
        <v>861.66</v>
      </c>
      <c r="I19" s="3">
        <v>2032.31</v>
      </c>
      <c r="J19" s="3">
        <v>1455.32</v>
      </c>
      <c r="K19" s="3">
        <v>12.18</v>
      </c>
    </row>
    <row r="20" spans="1:11" s="7" customFormat="1" x14ac:dyDescent="0.25">
      <c r="A20" s="2" t="s">
        <v>100</v>
      </c>
      <c r="B20" s="3">
        <v>639.97</v>
      </c>
      <c r="C20" s="3">
        <v>657.06</v>
      </c>
      <c r="D20" s="3">
        <v>733.9</v>
      </c>
      <c r="E20" s="3">
        <v>817.11</v>
      </c>
      <c r="F20" s="3">
        <v>530.91999999999996</v>
      </c>
      <c r="G20" s="3">
        <v>429.56</v>
      </c>
      <c r="H20" s="3">
        <v>541.27</v>
      </c>
      <c r="I20" s="3">
        <v>830.48</v>
      </c>
      <c r="J20" s="3">
        <v>752.73</v>
      </c>
      <c r="K20" s="3">
        <v>832.35</v>
      </c>
    </row>
    <row r="21" spans="1:11" s="7" customFormat="1" x14ac:dyDescent="0.25">
      <c r="A21" s="2" t="s">
        <v>101</v>
      </c>
      <c r="B21" s="3">
        <v>2618.6999999999998</v>
      </c>
      <c r="C21" s="3">
        <v>3255.3</v>
      </c>
      <c r="D21" s="3">
        <v>3590.26</v>
      </c>
      <c r="E21" s="3">
        <v>4253</v>
      </c>
      <c r="F21" s="3">
        <v>3277.79</v>
      </c>
      <c r="G21" s="3">
        <v>2523.4</v>
      </c>
      <c r="H21" s="3">
        <v>3124.27</v>
      </c>
      <c r="I21" s="3">
        <v>3838.42</v>
      </c>
      <c r="J21" s="3">
        <v>3791.75</v>
      </c>
      <c r="K21" s="3">
        <v>4162.28</v>
      </c>
    </row>
    <row r="22" spans="1:11" s="7" customFormat="1" x14ac:dyDescent="0.25">
      <c r="A22" s="2" t="s">
        <v>102</v>
      </c>
      <c r="B22" s="3">
        <v>7689.4</v>
      </c>
      <c r="C22" s="3">
        <v>8910.6299999999992</v>
      </c>
      <c r="D22" s="3">
        <v>10004.620000000001</v>
      </c>
      <c r="E22" s="3">
        <v>11242.08</v>
      </c>
      <c r="F22" s="3">
        <v>8214.82</v>
      </c>
      <c r="G22" s="3">
        <v>7813.26</v>
      </c>
      <c r="H22" s="3">
        <v>8386.74</v>
      </c>
      <c r="I22" s="3">
        <v>9677.9500000000007</v>
      </c>
      <c r="J22" s="3">
        <v>10624.33</v>
      </c>
      <c r="K22" s="3">
        <v>11126.17</v>
      </c>
    </row>
    <row r="23" spans="1:11" s="7" customFormat="1" x14ac:dyDescent="0.25">
      <c r="A23" s="2" t="s">
        <v>103</v>
      </c>
      <c r="B23" s="3">
        <v>5758.86</v>
      </c>
      <c r="C23" s="3">
        <v>6253.64</v>
      </c>
      <c r="D23" s="3">
        <v>7591.15</v>
      </c>
      <c r="E23" s="3">
        <v>9658.98</v>
      </c>
      <c r="F23" s="3">
        <v>6316.52</v>
      </c>
      <c r="G23" s="3">
        <v>4628.75</v>
      </c>
      <c r="H23" s="3">
        <v>5977.67</v>
      </c>
      <c r="I23" s="3">
        <v>7681.87</v>
      </c>
      <c r="J23" s="3">
        <v>9832.2000000000007</v>
      </c>
      <c r="K23" s="3">
        <v>10811.4</v>
      </c>
    </row>
    <row r="24" spans="1:11" s="7" customFormat="1" x14ac:dyDescent="0.25">
      <c r="A24" s="2" t="s">
        <v>104</v>
      </c>
      <c r="B24" s="3">
        <v>3926.21</v>
      </c>
      <c r="C24" s="3">
        <v>3320.22</v>
      </c>
      <c r="D24" s="3">
        <v>3407.3</v>
      </c>
      <c r="E24" s="3">
        <v>3392.29</v>
      </c>
      <c r="F24" s="3">
        <v>8462.2099999999991</v>
      </c>
      <c r="G24" s="3">
        <v>8989</v>
      </c>
      <c r="H24" s="3">
        <v>5654.58</v>
      </c>
      <c r="I24" s="3">
        <v>4966.9799999999996</v>
      </c>
      <c r="J24" s="3">
        <v>5570.58</v>
      </c>
      <c r="K24" s="3">
        <v>6017.71</v>
      </c>
    </row>
    <row r="25" spans="1:11" s="7" customFormat="1" x14ac:dyDescent="0.25">
      <c r="A25" s="7" t="s">
        <v>105</v>
      </c>
      <c r="B25" s="3">
        <v>1398.83</v>
      </c>
      <c r="C25" s="3">
        <v>2076.61</v>
      </c>
      <c r="D25" s="3">
        <v>4366.41</v>
      </c>
      <c r="E25" s="3">
        <v>2676.45</v>
      </c>
      <c r="F25" s="3">
        <v>884.69</v>
      </c>
      <c r="G25" s="3">
        <v>1151.51</v>
      </c>
      <c r="H25" s="3">
        <v>3204.47</v>
      </c>
      <c r="I25" s="3">
        <v>3961.45</v>
      </c>
      <c r="J25" s="3">
        <v>3297.85</v>
      </c>
      <c r="K25" s="3">
        <v>3718.47</v>
      </c>
    </row>
    <row r="26" spans="1:11" s="7" customFormat="1" x14ac:dyDescent="0.25">
      <c r="A26" s="7" t="s">
        <v>106</v>
      </c>
      <c r="B26" s="3">
        <v>2441.65</v>
      </c>
      <c r="C26" s="3">
        <v>2812.72</v>
      </c>
      <c r="D26" s="3">
        <v>3279.9</v>
      </c>
      <c r="E26" s="3">
        <v>3990.77</v>
      </c>
      <c r="F26" s="3">
        <v>3366.68</v>
      </c>
      <c r="G26" s="3">
        <v>3378.11</v>
      </c>
      <c r="H26" s="3">
        <v>3507.5</v>
      </c>
      <c r="I26" s="3">
        <v>4356.8100000000004</v>
      </c>
      <c r="J26" s="3">
        <v>4723.78</v>
      </c>
      <c r="K26" s="3">
        <v>6073.65</v>
      </c>
    </row>
    <row r="27" spans="1:11" s="7" customFormat="1" x14ac:dyDescent="0.25">
      <c r="A27" s="7" t="s">
        <v>19</v>
      </c>
      <c r="B27" s="3">
        <v>3367.59</v>
      </c>
      <c r="C27" s="3">
        <v>3648.46</v>
      </c>
      <c r="D27" s="3">
        <v>3987.09</v>
      </c>
      <c r="E27" s="3">
        <v>5021.3500000000004</v>
      </c>
      <c r="F27" s="3">
        <v>6021.15</v>
      </c>
      <c r="G27" s="3">
        <v>6102.22</v>
      </c>
      <c r="H27" s="3">
        <v>5018.05</v>
      </c>
      <c r="I27" s="3">
        <v>5829.7</v>
      </c>
      <c r="J27" s="3">
        <v>7488.21</v>
      </c>
      <c r="K27" s="3">
        <v>9083.39</v>
      </c>
    </row>
    <row r="28" spans="1:11" s="7" customFormat="1" x14ac:dyDescent="0.25">
      <c r="A28" s="7" t="s">
        <v>107</v>
      </c>
      <c r="B28" s="3">
        <v>5672.03</v>
      </c>
      <c r="C28" s="3">
        <v>6350.26</v>
      </c>
      <c r="D28" s="3">
        <v>10325.52</v>
      </c>
      <c r="E28" s="3">
        <v>8870.84</v>
      </c>
      <c r="F28" s="3">
        <v>1654.61</v>
      </c>
      <c r="G28" s="3">
        <v>3158.2</v>
      </c>
      <c r="H28" s="3">
        <v>9361.77</v>
      </c>
      <c r="I28" s="3">
        <v>14060.23</v>
      </c>
      <c r="J28" s="3">
        <v>15977.79</v>
      </c>
      <c r="K28" s="3">
        <v>19079.62</v>
      </c>
    </row>
    <row r="29" spans="1:11" s="7" customFormat="1" x14ac:dyDescent="0.25">
      <c r="A29" s="7" t="s">
        <v>23</v>
      </c>
      <c r="B29" s="3">
        <v>2117.5300000000002</v>
      </c>
      <c r="C29" s="3">
        <v>2299.73</v>
      </c>
      <c r="D29" s="3">
        <v>2367.73</v>
      </c>
      <c r="E29" s="3">
        <v>2853.99</v>
      </c>
      <c r="F29" s="3">
        <v>1975.61</v>
      </c>
      <c r="G29" s="3">
        <v>1645.81</v>
      </c>
      <c r="H29" s="3">
        <v>2108.7600000000002</v>
      </c>
      <c r="I29" s="3">
        <v>2685.75</v>
      </c>
      <c r="J29" s="3">
        <v>3707.97</v>
      </c>
      <c r="K29" s="3">
        <v>5006.45</v>
      </c>
    </row>
    <row r="30" spans="1:11" s="7" customFormat="1" x14ac:dyDescent="0.25">
      <c r="A30" s="7" t="s">
        <v>108</v>
      </c>
      <c r="B30" s="3">
        <v>3148.43</v>
      </c>
      <c r="C30" s="3">
        <v>3698.04</v>
      </c>
      <c r="D30" s="3">
        <v>7510.39</v>
      </c>
      <c r="E30" s="3">
        <v>5315.46</v>
      </c>
      <c r="F30" s="3">
        <v>127.04</v>
      </c>
      <c r="G30" s="3">
        <v>1812.49</v>
      </c>
      <c r="H30" s="3">
        <v>6577.32</v>
      </c>
      <c r="I30" s="3">
        <v>10281.5</v>
      </c>
      <c r="J30" s="3">
        <v>11268.64</v>
      </c>
      <c r="K30" s="3">
        <v>12929.1</v>
      </c>
    </row>
    <row r="31" spans="1:11" s="7" customFormat="1" x14ac:dyDescent="0.25">
      <c r="A31" s="7" t="s">
        <v>109</v>
      </c>
      <c r="B31" s="3">
        <v>648.96</v>
      </c>
      <c r="C31" s="3">
        <v>807.43</v>
      </c>
      <c r="D31" s="3">
        <v>814.7</v>
      </c>
      <c r="E31" s="3">
        <v>924.73</v>
      </c>
      <c r="F31" s="3">
        <v>260.51</v>
      </c>
      <c r="G31" s="3">
        <v>971.51</v>
      </c>
      <c r="H31" s="3">
        <v>1284.5</v>
      </c>
      <c r="I31" s="3">
        <v>1809.66</v>
      </c>
      <c r="J31" s="3">
        <v>2352.14</v>
      </c>
      <c r="K31" s="3">
        <v>2824.24</v>
      </c>
    </row>
    <row r="32" spans="1:11" s="7" customFormat="1" x14ac:dyDescent="0.25"/>
    <row r="33" spans="1:11" x14ac:dyDescent="0.25">
      <c r="A33" s="7"/>
    </row>
    <row r="34" spans="1:11" x14ac:dyDescent="0.25">
      <c r="A34" s="7"/>
      <c r="B34" s="2">
        <f>B28-B29</f>
        <v>3554.4999999999995</v>
      </c>
      <c r="C34" s="2">
        <f t="shared" ref="C34:K34" si="0">C28-C29</f>
        <v>4050.53</v>
      </c>
      <c r="D34" s="2">
        <f t="shared" si="0"/>
        <v>7957.7900000000009</v>
      </c>
      <c r="E34" s="2">
        <f t="shared" si="0"/>
        <v>6016.85</v>
      </c>
      <c r="F34" s="2">
        <f t="shared" si="0"/>
        <v>-321</v>
      </c>
      <c r="G34" s="2">
        <f t="shared" si="0"/>
        <v>1512.3899999999999</v>
      </c>
      <c r="H34" s="2">
        <f t="shared" si="0"/>
        <v>7253.01</v>
      </c>
      <c r="I34" s="2">
        <f t="shared" si="0"/>
        <v>11374.48</v>
      </c>
      <c r="J34" s="2">
        <f t="shared" si="0"/>
        <v>12269.820000000002</v>
      </c>
      <c r="K34" s="2">
        <f t="shared" si="0"/>
        <v>14073.169999999998</v>
      </c>
    </row>
    <row r="35" spans="1:11" x14ac:dyDescent="0.25">
      <c r="A35" s="7"/>
    </row>
    <row r="36" spans="1:11" x14ac:dyDescent="0.25">
      <c r="A36" s="7"/>
    </row>
    <row r="37" spans="1:11" x14ac:dyDescent="0.25">
      <c r="A37" s="7"/>
    </row>
    <row r="38" spans="1:11" x14ac:dyDescent="0.25">
      <c r="A38" s="7"/>
    </row>
    <row r="39" spans="1:11" x14ac:dyDescent="0.25">
      <c r="A39" s="7"/>
    </row>
    <row r="40" spans="1:11" x14ac:dyDescent="0.25">
      <c r="A40" s="1" t="s">
        <v>110</v>
      </c>
    </row>
    <row r="41" spans="1:11" s="6" customFormat="1" x14ac:dyDescent="0.25">
      <c r="A41" s="4" t="s">
        <v>97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s="7" customFormat="1" x14ac:dyDescent="0.25">
      <c r="A42" s="7" t="s">
        <v>3</v>
      </c>
      <c r="B42" s="3">
        <v>33891.629999999997</v>
      </c>
      <c r="C42" s="3">
        <v>34435.519999999997</v>
      </c>
      <c r="D42" s="3">
        <v>35299.39</v>
      </c>
      <c r="E42" s="3">
        <v>35451.730000000003</v>
      </c>
      <c r="F42" s="3">
        <v>37217.72</v>
      </c>
      <c r="G42" s="3">
        <v>37923.74</v>
      </c>
      <c r="H42" s="3">
        <v>41470.050000000003</v>
      </c>
      <c r="I42" s="3">
        <v>42599.31</v>
      </c>
      <c r="J42" s="3">
        <v>45529.19</v>
      </c>
      <c r="K42" s="3">
        <v>46105.67</v>
      </c>
    </row>
    <row r="43" spans="1:11" s="7" customFormat="1" x14ac:dyDescent="0.25">
      <c r="A43" s="7" t="s">
        <v>111</v>
      </c>
      <c r="B43" s="3">
        <v>27642.400000000001</v>
      </c>
      <c r="C43" s="3">
        <v>28705.94</v>
      </c>
      <c r="D43" s="3">
        <v>29075.41</v>
      </c>
      <c r="E43" s="3">
        <v>28847.82</v>
      </c>
      <c r="F43" s="3">
        <v>29974.6</v>
      </c>
      <c r="G43" s="3">
        <v>30790.34</v>
      </c>
      <c r="H43" s="3">
        <v>33239.32</v>
      </c>
      <c r="I43" s="3">
        <v>34688.370000000003</v>
      </c>
      <c r="J43" s="3">
        <v>37301.39</v>
      </c>
      <c r="K43" s="3">
        <v>37176.58</v>
      </c>
    </row>
    <row r="44" spans="1:11" s="7" customFormat="1" x14ac:dyDescent="0.25">
      <c r="A44" s="7" t="s">
        <v>105</v>
      </c>
      <c r="B44" s="3">
        <v>1065</v>
      </c>
      <c r="C44" s="3">
        <v>811.95</v>
      </c>
      <c r="D44" s="3">
        <v>755.69</v>
      </c>
      <c r="E44" s="3">
        <v>750.44</v>
      </c>
      <c r="F44" s="3">
        <v>733.21</v>
      </c>
      <c r="G44" s="3">
        <v>1125.57</v>
      </c>
      <c r="H44" s="3">
        <v>718.59</v>
      </c>
      <c r="I44" s="3">
        <v>1141.0999999999999</v>
      </c>
      <c r="J44" s="3">
        <v>1395.06</v>
      </c>
      <c r="K44" s="3">
        <v>1144.76</v>
      </c>
    </row>
    <row r="45" spans="1:11" s="7" customFormat="1" x14ac:dyDescent="0.25">
      <c r="A45" s="7" t="s">
        <v>106</v>
      </c>
      <c r="B45" s="3">
        <v>1127.5</v>
      </c>
      <c r="C45" s="3">
        <v>1138.6400000000001</v>
      </c>
      <c r="D45" s="3">
        <v>1122.5899999999999</v>
      </c>
      <c r="E45" s="3">
        <v>1335.05</v>
      </c>
      <c r="F45" s="3">
        <v>1247.77</v>
      </c>
      <c r="G45" s="3">
        <v>1301.99</v>
      </c>
      <c r="H45" s="3">
        <v>1495.17</v>
      </c>
      <c r="I45" s="3">
        <v>2028.72</v>
      </c>
      <c r="J45" s="3">
        <v>1547.56</v>
      </c>
      <c r="K45" s="3">
        <v>1668.89</v>
      </c>
    </row>
    <row r="46" spans="1:11" s="7" customFormat="1" x14ac:dyDescent="0.25">
      <c r="A46" s="7" t="s">
        <v>19</v>
      </c>
      <c r="B46" s="3">
        <v>1718.84</v>
      </c>
      <c r="C46" s="3">
        <v>1835.19</v>
      </c>
      <c r="D46" s="3">
        <v>1944.88</v>
      </c>
      <c r="E46" s="3">
        <v>1989.3</v>
      </c>
      <c r="F46" s="3">
        <v>2107.69</v>
      </c>
      <c r="G46" s="3">
        <v>2217.02</v>
      </c>
      <c r="H46" s="3">
        <v>2362.16</v>
      </c>
      <c r="I46" s="3">
        <v>2396.52</v>
      </c>
      <c r="J46" s="3">
        <v>2431.19</v>
      </c>
      <c r="K46" s="3">
        <v>2347.0300000000002</v>
      </c>
    </row>
    <row r="47" spans="1:11" s="7" customFormat="1" x14ac:dyDescent="0.25">
      <c r="A47" s="7" t="s">
        <v>107</v>
      </c>
      <c r="B47" s="3">
        <v>4467.8900000000003</v>
      </c>
      <c r="C47" s="3">
        <v>3567.7</v>
      </c>
      <c r="D47" s="3">
        <v>3912.2</v>
      </c>
      <c r="E47" s="3">
        <v>4030</v>
      </c>
      <c r="F47" s="3">
        <v>4620.87</v>
      </c>
      <c r="G47" s="3">
        <v>4739.96</v>
      </c>
      <c r="H47" s="3">
        <v>5091.99</v>
      </c>
      <c r="I47" s="3">
        <v>4626.8</v>
      </c>
      <c r="J47" s="3">
        <v>5644.11</v>
      </c>
      <c r="K47" s="3">
        <v>6057.93</v>
      </c>
    </row>
    <row r="48" spans="1:11" s="7" customFormat="1" x14ac:dyDescent="0.25">
      <c r="A48" s="7" t="s">
        <v>23</v>
      </c>
      <c r="B48" s="3">
        <v>784.02</v>
      </c>
      <c r="C48" s="3">
        <v>1083.73</v>
      </c>
      <c r="D48" s="3">
        <v>935.16</v>
      </c>
      <c r="E48" s="3">
        <v>905.06</v>
      </c>
      <c r="F48" s="3">
        <v>1075.0899999999999</v>
      </c>
      <c r="G48" s="3">
        <v>1378.9</v>
      </c>
      <c r="H48" s="3">
        <v>1467.51</v>
      </c>
      <c r="I48" s="3">
        <v>1084.95</v>
      </c>
      <c r="J48" s="3">
        <v>1267.53</v>
      </c>
      <c r="K48" s="3">
        <v>2094.1799999999998</v>
      </c>
    </row>
    <row r="49" spans="1:11" s="7" customFormat="1" x14ac:dyDescent="0.25">
      <c r="A49" s="7" t="s">
        <v>108</v>
      </c>
      <c r="B49" s="3">
        <v>3508.41</v>
      </c>
      <c r="C49" s="3">
        <v>2347.75</v>
      </c>
      <c r="D49" s="3">
        <v>2658.4</v>
      </c>
      <c r="E49" s="3">
        <v>2754.08</v>
      </c>
      <c r="F49" s="3">
        <v>3282.63</v>
      </c>
      <c r="G49" s="3">
        <v>3170.72</v>
      </c>
      <c r="H49" s="3">
        <v>3180.58</v>
      </c>
      <c r="I49" s="3">
        <v>3295.17</v>
      </c>
      <c r="J49" s="3">
        <v>4083.32</v>
      </c>
      <c r="K49" s="3">
        <v>3673.32</v>
      </c>
    </row>
    <row r="50" spans="1:11" x14ac:dyDescent="0.25">
      <c r="A50" s="7" t="s">
        <v>112</v>
      </c>
      <c r="B50" s="3">
        <v>6249.23</v>
      </c>
      <c r="C50" s="3">
        <v>5729.58</v>
      </c>
      <c r="D50" s="3">
        <v>6223.98</v>
      </c>
      <c r="E50" s="3">
        <v>6603.91</v>
      </c>
      <c r="F50" s="3">
        <v>7243.12</v>
      </c>
      <c r="G50" s="3">
        <v>7133.4</v>
      </c>
      <c r="H50" s="3">
        <v>8230.73</v>
      </c>
      <c r="I50" s="3">
        <v>7910.94</v>
      </c>
      <c r="J50" s="3">
        <v>8227.7999999999993</v>
      </c>
      <c r="K50" s="3">
        <v>8929.09</v>
      </c>
    </row>
    <row r="51" spans="1:11" x14ac:dyDescent="0.25">
      <c r="A51" s="7"/>
    </row>
    <row r="52" spans="1:11" x14ac:dyDescent="0.25">
      <c r="A52" s="7"/>
    </row>
    <row r="53" spans="1:11" x14ac:dyDescent="0.25">
      <c r="A53" s="7"/>
    </row>
    <row r="54" spans="1:11" x14ac:dyDescent="0.25">
      <c r="A54" s="7"/>
    </row>
    <row r="55" spans="1:11" x14ac:dyDescent="0.25">
      <c r="A55" s="1" t="s">
        <v>113</v>
      </c>
    </row>
    <row r="56" spans="1:11" s="6" customFormat="1" x14ac:dyDescent="0.25">
      <c r="A56" s="4" t="s">
        <v>97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25">
      <c r="A57" s="7" t="s">
        <v>36</v>
      </c>
      <c r="B57" s="3">
        <v>270.39999999999998</v>
      </c>
      <c r="C57" s="3">
        <v>310.55</v>
      </c>
      <c r="D57" s="3">
        <v>543.13</v>
      </c>
      <c r="E57" s="3">
        <v>543.96</v>
      </c>
      <c r="F57" s="3">
        <v>554.28</v>
      </c>
      <c r="G57" s="3">
        <v>555.15</v>
      </c>
      <c r="H57" s="3">
        <v>556.05999999999995</v>
      </c>
      <c r="I57" s="3">
        <v>556.82000000000005</v>
      </c>
      <c r="J57" s="3">
        <v>557.38</v>
      </c>
      <c r="K57" s="3">
        <v>558.15</v>
      </c>
    </row>
    <row r="58" spans="1:11" x14ac:dyDescent="0.25">
      <c r="A58" s="7" t="s">
        <v>37</v>
      </c>
      <c r="B58" s="3">
        <v>26222.25</v>
      </c>
      <c r="C58" s="3">
        <v>29467.1</v>
      </c>
      <c r="D58" s="3">
        <v>36232.06</v>
      </c>
      <c r="E58" s="3">
        <v>39439.449999999997</v>
      </c>
      <c r="F58" s="3">
        <v>39415.03</v>
      </c>
      <c r="G58" s="3">
        <v>41026.769999999997</v>
      </c>
      <c r="H58" s="3">
        <v>46566.58</v>
      </c>
      <c r="I58" s="3">
        <v>55808.97</v>
      </c>
      <c r="J58" s="3">
        <v>65633.17</v>
      </c>
      <c r="K58" s="3">
        <v>76480.710000000006</v>
      </c>
    </row>
    <row r="59" spans="1:11" x14ac:dyDescent="0.25">
      <c r="A59" s="7" t="s">
        <v>38</v>
      </c>
      <c r="B59" s="3">
        <v>41552.93</v>
      </c>
      <c r="C59" s="3">
        <v>48761.91</v>
      </c>
      <c r="D59" s="3">
        <v>55897.919999999998</v>
      </c>
      <c r="E59" s="3">
        <v>70848.3</v>
      </c>
      <c r="F59" s="3">
        <v>82092.28</v>
      </c>
      <c r="G59" s="3">
        <v>80624.83</v>
      </c>
      <c r="H59" s="3">
        <v>77605.210000000006</v>
      </c>
      <c r="I59" s="3">
        <v>92246.85</v>
      </c>
      <c r="J59" s="3">
        <v>108647.25</v>
      </c>
      <c r="K59" s="3">
        <v>129024.58</v>
      </c>
    </row>
    <row r="60" spans="1:11" x14ac:dyDescent="0.25">
      <c r="A60" s="7" t="s">
        <v>39</v>
      </c>
      <c r="B60" s="3">
        <v>31806.240000000002</v>
      </c>
      <c r="C60" s="3">
        <v>35295.919999999998</v>
      </c>
      <c r="D60" s="3">
        <v>43696.2</v>
      </c>
      <c r="E60" s="3">
        <v>51056.95</v>
      </c>
      <c r="F60" s="3">
        <v>43654.54</v>
      </c>
      <c r="G60" s="3">
        <v>42761.58</v>
      </c>
      <c r="H60" s="3">
        <v>47660.639999999999</v>
      </c>
      <c r="I60" s="3">
        <v>55670.49</v>
      </c>
      <c r="J60" s="3">
        <v>59883.94</v>
      </c>
      <c r="K60" s="3">
        <v>69949.72</v>
      </c>
    </row>
    <row r="61" spans="1:11" s="1" customFormat="1" x14ac:dyDescent="0.25">
      <c r="A61" s="1" t="s">
        <v>114</v>
      </c>
      <c r="B61" s="3">
        <v>99851.82</v>
      </c>
      <c r="C61" s="3">
        <v>113835.48</v>
      </c>
      <c r="D61" s="3">
        <v>136369.31</v>
      </c>
      <c r="E61" s="3">
        <v>161888.66</v>
      </c>
      <c r="F61" s="3">
        <v>165716.13</v>
      </c>
      <c r="G61" s="3">
        <v>164968.32999999999</v>
      </c>
      <c r="H61" s="3">
        <v>172388.49</v>
      </c>
      <c r="I61" s="3">
        <v>204283.13</v>
      </c>
      <c r="J61" s="3">
        <v>234721.74</v>
      </c>
      <c r="K61" s="3">
        <v>276013.15999999997</v>
      </c>
    </row>
    <row r="62" spans="1:11" x14ac:dyDescent="0.25">
      <c r="A62" s="7" t="s">
        <v>115</v>
      </c>
      <c r="B62" s="3">
        <v>20584.71</v>
      </c>
      <c r="C62" s="3">
        <v>20989.01</v>
      </c>
      <c r="D62" s="3">
        <v>26181.9</v>
      </c>
      <c r="E62" s="3">
        <v>28982.74</v>
      </c>
      <c r="F62" s="3">
        <v>29689.27</v>
      </c>
      <c r="G62" s="3">
        <v>21379.68</v>
      </c>
      <c r="H62" s="3">
        <v>26018.49</v>
      </c>
      <c r="I62" s="3">
        <v>27139.98</v>
      </c>
      <c r="J62" s="3">
        <v>28129.41</v>
      </c>
      <c r="K62" s="3">
        <v>34636.36</v>
      </c>
    </row>
    <row r="63" spans="1:11" x14ac:dyDescent="0.25">
      <c r="A63" s="7" t="s">
        <v>42</v>
      </c>
      <c r="B63" s="3">
        <v>2371.35</v>
      </c>
      <c r="C63" s="3">
        <v>4278.9399999999996</v>
      </c>
      <c r="D63" s="3">
        <v>4269.47</v>
      </c>
      <c r="E63" s="3">
        <v>4759.84</v>
      </c>
      <c r="F63" s="3">
        <v>6856.48</v>
      </c>
      <c r="G63" s="3">
        <v>7872.61</v>
      </c>
      <c r="H63" s="3">
        <v>6702.81</v>
      </c>
      <c r="I63" s="3">
        <v>3968.58</v>
      </c>
      <c r="J63" s="3">
        <v>8039.3</v>
      </c>
      <c r="K63" s="3">
        <v>8297.64</v>
      </c>
    </row>
    <row r="64" spans="1:11" x14ac:dyDescent="0.25">
      <c r="A64" s="7" t="s">
        <v>43</v>
      </c>
      <c r="B64" s="3">
        <v>11602.58</v>
      </c>
      <c r="C64" s="3">
        <v>14662.44</v>
      </c>
      <c r="D64" s="3">
        <v>16017.61</v>
      </c>
      <c r="E64" s="3">
        <v>18268.099999999999</v>
      </c>
      <c r="F64" s="3">
        <v>19210.34</v>
      </c>
      <c r="G64" s="3">
        <v>28777.66</v>
      </c>
      <c r="H64" s="3">
        <v>30060.43</v>
      </c>
      <c r="I64" s="3">
        <v>35272.42</v>
      </c>
      <c r="J64" s="3">
        <v>35208.1</v>
      </c>
      <c r="K64" s="3">
        <v>41308.57</v>
      </c>
    </row>
    <row r="65" spans="1:11" x14ac:dyDescent="0.25">
      <c r="A65" s="7" t="s">
        <v>44</v>
      </c>
      <c r="B65" s="3">
        <v>65293.18</v>
      </c>
      <c r="C65" s="3">
        <v>73905.09</v>
      </c>
      <c r="D65" s="3">
        <v>89900.33</v>
      </c>
      <c r="E65" s="3">
        <v>109877.98</v>
      </c>
      <c r="F65" s="3">
        <v>109960.04</v>
      </c>
      <c r="G65" s="3">
        <v>106938.38</v>
      </c>
      <c r="H65" s="3">
        <v>109606.76</v>
      </c>
      <c r="I65" s="3">
        <v>137902.15</v>
      </c>
      <c r="J65" s="3">
        <v>163344.93</v>
      </c>
      <c r="K65" s="3">
        <v>191770.59</v>
      </c>
    </row>
    <row r="66" spans="1:11" s="1" customFormat="1" x14ac:dyDescent="0.25">
      <c r="A66" s="1" t="s">
        <v>114</v>
      </c>
      <c r="B66" s="3">
        <v>99851.82</v>
      </c>
      <c r="C66" s="3">
        <v>113835.48</v>
      </c>
      <c r="D66" s="3">
        <v>136369.31</v>
      </c>
      <c r="E66" s="3">
        <v>161888.66</v>
      </c>
      <c r="F66" s="3">
        <v>165716.13</v>
      </c>
      <c r="G66" s="3">
        <v>164968.32999999999</v>
      </c>
      <c r="H66" s="3">
        <v>172388.49</v>
      </c>
      <c r="I66" s="3">
        <v>204283.13</v>
      </c>
      <c r="J66" s="3">
        <v>234721.74</v>
      </c>
      <c r="K66" s="3">
        <v>276013.15999999997</v>
      </c>
    </row>
    <row r="67" spans="1:11" s="7" customFormat="1" x14ac:dyDescent="0.25">
      <c r="A67" s="7" t="s">
        <v>46</v>
      </c>
      <c r="B67" s="3">
        <v>5817.6</v>
      </c>
      <c r="C67" s="3">
        <v>7199.26</v>
      </c>
      <c r="D67" s="3">
        <v>8489.82</v>
      </c>
      <c r="E67" s="3">
        <v>8677.89</v>
      </c>
      <c r="F67" s="3">
        <v>6928.28</v>
      </c>
      <c r="G67" s="3">
        <v>6007.76</v>
      </c>
      <c r="H67" s="3">
        <v>6373.95</v>
      </c>
      <c r="I67" s="3">
        <v>7028.02</v>
      </c>
      <c r="J67" s="3">
        <v>7459.4</v>
      </c>
      <c r="K67" s="3">
        <v>8279.7000000000007</v>
      </c>
    </row>
    <row r="68" spans="1:11" x14ac:dyDescent="0.25">
      <c r="A68" s="7" t="s">
        <v>47</v>
      </c>
      <c r="B68" s="3">
        <v>9116.1200000000008</v>
      </c>
      <c r="C68" s="3">
        <v>8886.01</v>
      </c>
      <c r="D68" s="3">
        <v>9335.57</v>
      </c>
      <c r="E68" s="3">
        <v>12200.16</v>
      </c>
      <c r="F68" s="3">
        <v>11111.86</v>
      </c>
      <c r="G68" s="3">
        <v>9615.41</v>
      </c>
      <c r="H68" s="3">
        <v>11595.82</v>
      </c>
      <c r="I68" s="3">
        <v>16854.97</v>
      </c>
      <c r="J68" s="3">
        <v>18590.47</v>
      </c>
      <c r="K68" s="3">
        <v>20330.93</v>
      </c>
    </row>
    <row r="69" spans="1:11" x14ac:dyDescent="0.25">
      <c r="A69" s="2" t="s">
        <v>48</v>
      </c>
      <c r="B69" s="3">
        <v>4527.55</v>
      </c>
      <c r="C69" s="3">
        <v>4654.03</v>
      </c>
      <c r="D69" s="3">
        <v>6547.6</v>
      </c>
      <c r="E69" s="3">
        <v>8734.91</v>
      </c>
      <c r="F69" s="3">
        <v>7910.9</v>
      </c>
      <c r="G69" s="3">
        <v>12851.99</v>
      </c>
      <c r="H69" s="3">
        <v>11117.61</v>
      </c>
      <c r="I69" s="3">
        <v>11273.43</v>
      </c>
      <c r="J69" s="3">
        <v>12012.75</v>
      </c>
      <c r="K69" s="3">
        <v>20614.84</v>
      </c>
    </row>
    <row r="70" spans="1:11" x14ac:dyDescent="0.25">
      <c r="A70" s="2" t="s">
        <v>29</v>
      </c>
      <c r="B70" s="3">
        <v>592633807</v>
      </c>
      <c r="C70" s="3">
        <v>621092384</v>
      </c>
      <c r="D70" s="3">
        <v>1243192544</v>
      </c>
      <c r="E70" s="3">
        <v>1243192544</v>
      </c>
      <c r="F70" s="3">
        <v>1243192544</v>
      </c>
      <c r="G70" s="3">
        <v>1110297953</v>
      </c>
      <c r="H70" s="3">
        <v>1112130815</v>
      </c>
      <c r="I70" s="3">
        <v>1198118224</v>
      </c>
      <c r="J70" s="3">
        <v>1114775772</v>
      </c>
      <c r="K70" s="3">
        <v>1116313361</v>
      </c>
    </row>
    <row r="71" spans="1:11" x14ac:dyDescent="0.25">
      <c r="A71" s="2" t="s">
        <v>116</v>
      </c>
      <c r="D71">
        <v>621596272</v>
      </c>
    </row>
    <row r="72" spans="1:11" x14ac:dyDescent="0.25">
      <c r="A72" s="2" t="s">
        <v>117</v>
      </c>
      <c r="B72" s="3">
        <v>5</v>
      </c>
      <c r="C72" s="3">
        <v>5</v>
      </c>
      <c r="D72" s="3">
        <v>5</v>
      </c>
      <c r="E72" s="3">
        <v>5</v>
      </c>
      <c r="F72" s="3">
        <v>5</v>
      </c>
      <c r="G72" s="3">
        <v>5</v>
      </c>
      <c r="H72" s="3">
        <v>5</v>
      </c>
      <c r="I72" s="3">
        <v>5</v>
      </c>
      <c r="J72" s="3">
        <v>5</v>
      </c>
      <c r="K72" s="3">
        <v>5</v>
      </c>
    </row>
    <row r="74" spans="1:11" x14ac:dyDescent="0.25">
      <c r="A74" s="7" t="s">
        <v>118</v>
      </c>
      <c r="B74" s="2">
        <f>B65-SUM(B67:B69)</f>
        <v>45831.91</v>
      </c>
      <c r="C74" s="2">
        <f t="shared" ref="C74:K74" si="1">C65-SUM(C67:C69)</f>
        <v>53165.789999999994</v>
      </c>
      <c r="D74" s="2">
        <f t="shared" si="1"/>
        <v>65527.340000000004</v>
      </c>
      <c r="E74" s="2">
        <f>E65-SUM(E67:E69)</f>
        <v>80265.01999999999</v>
      </c>
      <c r="F74" s="2">
        <f t="shared" si="1"/>
        <v>84009</v>
      </c>
      <c r="G74" s="2">
        <f t="shared" si="1"/>
        <v>78463.22</v>
      </c>
      <c r="H74" s="2">
        <f t="shared" si="1"/>
        <v>80519.37999999999</v>
      </c>
      <c r="I74" s="2">
        <f t="shared" si="1"/>
        <v>102745.73</v>
      </c>
      <c r="J74" s="2">
        <f t="shared" si="1"/>
        <v>125282.31</v>
      </c>
      <c r="K74" s="2">
        <f t="shared" si="1"/>
        <v>142545.12</v>
      </c>
    </row>
    <row r="75" spans="1:11" x14ac:dyDescent="0.25">
      <c r="A75" s="7"/>
    </row>
    <row r="76" spans="1:11" x14ac:dyDescent="0.25">
      <c r="A76" s="7"/>
    </row>
    <row r="77" spans="1:11" x14ac:dyDescent="0.25">
      <c r="A77" s="7"/>
    </row>
    <row r="78" spans="1:11" x14ac:dyDescent="0.25">
      <c r="A78" s="7"/>
    </row>
    <row r="79" spans="1:11" x14ac:dyDescent="0.25">
      <c r="A79" s="7"/>
    </row>
    <row r="80" spans="1:11" x14ac:dyDescent="0.25">
      <c r="A80" s="1" t="s">
        <v>119</v>
      </c>
    </row>
    <row r="81" spans="1:11" s="6" customFormat="1" x14ac:dyDescent="0.25">
      <c r="A81" s="4" t="s">
        <v>97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</row>
    <row r="82" spans="1:11" s="1" customFormat="1" x14ac:dyDescent="0.25">
      <c r="A82" s="7" t="s">
        <v>120</v>
      </c>
      <c r="B82" s="3">
        <v>2384.7600000000002</v>
      </c>
      <c r="C82" s="3">
        <v>183.09</v>
      </c>
      <c r="D82" s="3">
        <v>681.86</v>
      </c>
      <c r="E82" s="3">
        <v>-4347.29</v>
      </c>
      <c r="F82" s="3">
        <v>-1456.93</v>
      </c>
      <c r="G82" s="3">
        <v>17908.830000000002</v>
      </c>
      <c r="H82" s="3">
        <v>9247.5499999999993</v>
      </c>
      <c r="I82" s="3">
        <v>-7074.02</v>
      </c>
      <c r="J82" s="3">
        <v>-5629.95</v>
      </c>
      <c r="K82" s="3">
        <v>3175.81</v>
      </c>
    </row>
    <row r="83" spans="1:11" s="7" customFormat="1" x14ac:dyDescent="0.25">
      <c r="A83" s="7" t="s">
        <v>121</v>
      </c>
      <c r="B83" s="3">
        <v>-5505.97</v>
      </c>
      <c r="C83" s="3">
        <v>-5875.29</v>
      </c>
      <c r="D83" s="3">
        <v>-5467.22</v>
      </c>
      <c r="E83" s="3">
        <v>-7173.97</v>
      </c>
      <c r="F83" s="3">
        <v>-6869.79</v>
      </c>
      <c r="G83" s="3">
        <v>-19685.5</v>
      </c>
      <c r="H83" s="3">
        <v>-3251.95</v>
      </c>
      <c r="I83" s="3">
        <v>-8866.27</v>
      </c>
      <c r="J83" s="3">
        <v>-5614.77</v>
      </c>
      <c r="K83" s="3">
        <v>-18616.13</v>
      </c>
    </row>
    <row r="84" spans="1:11" s="7" customFormat="1" x14ac:dyDescent="0.25">
      <c r="A84" s="7" t="s">
        <v>122</v>
      </c>
      <c r="B84" s="3">
        <v>2966.81</v>
      </c>
      <c r="C84" s="3">
        <v>6107.97</v>
      </c>
      <c r="D84" s="3">
        <v>6314.5</v>
      </c>
      <c r="E84" s="3">
        <v>13193.63</v>
      </c>
      <c r="F84" s="3">
        <v>6932.75</v>
      </c>
      <c r="G84" s="3">
        <v>406.23</v>
      </c>
      <c r="H84" s="3">
        <v>-5882.6</v>
      </c>
      <c r="I84" s="3">
        <v>15946.11</v>
      </c>
      <c r="J84" s="3">
        <v>12281.41</v>
      </c>
      <c r="K84" s="3">
        <v>15834.11</v>
      </c>
    </row>
    <row r="85" spans="1:11" s="1" customFormat="1" x14ac:dyDescent="0.25">
      <c r="A85" s="7" t="s">
        <v>78</v>
      </c>
      <c r="B85" s="3">
        <v>-154.4</v>
      </c>
      <c r="C85" s="3">
        <v>415.77</v>
      </c>
      <c r="D85" s="3">
        <v>1529.14</v>
      </c>
      <c r="E85" s="3">
        <v>1672.37</v>
      </c>
      <c r="F85" s="3">
        <v>-1393.97</v>
      </c>
      <c r="G85" s="3">
        <v>-1370.44</v>
      </c>
      <c r="H85" s="3">
        <v>113</v>
      </c>
      <c r="I85" s="3">
        <v>5.82</v>
      </c>
      <c r="J85" s="3">
        <v>1036.69</v>
      </c>
      <c r="K85" s="3">
        <v>393.79</v>
      </c>
    </row>
    <row r="86" spans="1:11" x14ac:dyDescent="0.25">
      <c r="A86" s="7"/>
    </row>
    <row r="87" spans="1:11" x14ac:dyDescent="0.25">
      <c r="A87" s="7"/>
    </row>
    <row r="88" spans="1:11" x14ac:dyDescent="0.25">
      <c r="A88" s="7"/>
    </row>
    <row r="89" spans="1:11" x14ac:dyDescent="0.25">
      <c r="A89" s="7"/>
    </row>
    <row r="90" spans="1:11" s="1" customFormat="1" x14ac:dyDescent="0.25">
      <c r="A90" s="1" t="s">
        <v>123</v>
      </c>
      <c r="B90" s="3">
        <v>605.35</v>
      </c>
      <c r="C90" s="3">
        <v>643.45000000000005</v>
      </c>
      <c r="D90" s="3">
        <v>738.9</v>
      </c>
      <c r="E90" s="3">
        <v>673.9</v>
      </c>
      <c r="F90" s="3">
        <v>284.95</v>
      </c>
      <c r="G90" s="3">
        <v>795.25</v>
      </c>
      <c r="H90" s="3">
        <v>806.55</v>
      </c>
      <c r="I90" s="3">
        <v>1158.7</v>
      </c>
      <c r="J90" s="3">
        <v>1921.35</v>
      </c>
      <c r="K90" s="3">
        <v>2665.8</v>
      </c>
    </row>
    <row r="92" spans="1:11" s="1" customFormat="1" x14ac:dyDescent="0.25">
      <c r="A92" s="1" t="s">
        <v>124</v>
      </c>
    </row>
    <row r="93" spans="1:11" x14ac:dyDescent="0.25">
      <c r="A93" s="2" t="s">
        <v>125</v>
      </c>
      <c r="B93" s="8">
        <v>124.22</v>
      </c>
      <c r="C93" s="8">
        <v>124.22</v>
      </c>
      <c r="D93" s="8">
        <v>124.32</v>
      </c>
      <c r="E93" s="8">
        <v>124.32</v>
      </c>
      <c r="F93" s="8">
        <v>124.32</v>
      </c>
      <c r="G93" s="8">
        <v>124.32</v>
      </c>
      <c r="H93" s="8">
        <v>124.32</v>
      </c>
      <c r="I93" s="8">
        <v>124.35</v>
      </c>
      <c r="J93" s="8">
        <v>124.35</v>
      </c>
      <c r="K93" s="8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465F76E6-8D21-408A-9181-0691EA7FFA1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Financials&gt;</vt:lpstr>
      <vt:lpstr> Summary Dashboard</vt:lpstr>
      <vt:lpstr>Assumptions</vt:lpstr>
      <vt:lpstr>Income Statement </vt:lpstr>
      <vt:lpstr>Balance Sheet</vt:lpstr>
      <vt:lpstr>Cash Flow Statement</vt:lpstr>
      <vt:lpstr>Sales Trend Analysis</vt:lpstr>
      <vt:lpstr>Historical FS</vt:lpstr>
      <vt:lpstr>Raw Data</vt:lpstr>
      <vt:lpstr>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Anas</dc:creator>
  <cp:keywords/>
  <dc:description/>
  <cp:lastModifiedBy>Mohd Anas</cp:lastModifiedBy>
  <cp:revision/>
  <cp:lastPrinted>2026-02-15T14:09:56Z</cp:lastPrinted>
  <dcterms:created xsi:type="dcterms:W3CDTF">2025-11-23T10:52:05Z</dcterms:created>
  <dcterms:modified xsi:type="dcterms:W3CDTF">2026-02-15T15:18:31Z</dcterms:modified>
  <cp:category/>
  <cp:contentStatus/>
</cp:coreProperties>
</file>